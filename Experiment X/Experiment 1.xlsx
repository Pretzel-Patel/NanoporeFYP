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3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4.xml" ContentType="application/vnd.openxmlformats-officedocument.drawing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drawings/drawing5.xml" ContentType="application/vnd.openxmlformats-officedocument.drawing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drawings/drawing6.xml" ContentType="application/vnd.openxmlformats-officedocument.drawing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drawings/drawing7.xml" ContentType="application/vnd.openxmlformats-officedocument.drawing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drawings/drawing8.xml" ContentType="application/vnd.openxmlformats-officedocument.drawing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drawings/drawing9.xml" ContentType="application/vnd.openxmlformats-officedocument.drawing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drawings/drawing10.xml" ContentType="application/vnd.openxmlformats-officedocument.drawing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drawings/drawing11.xml" ContentType="application/vnd.openxmlformats-officedocument.drawing+xml"/>
  <Override PartName="/xl/charts/chart11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drawings/drawing12.xml" ContentType="application/vnd.openxmlformats-officedocument.drawing+xml"/>
  <Override PartName="/xl/charts/chart12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xl/drawings/drawing13.xml" ContentType="application/vnd.openxmlformats-officedocument.drawing+xml"/>
  <Override PartName="/xl/charts/chart13.xml" ContentType="application/vnd.openxmlformats-officedocument.drawingml.chart+xml"/>
  <Override PartName="/xl/charts/style13.xml" ContentType="application/vnd.ms-office.chartstyle+xml"/>
  <Override PartName="/xl/charts/colors13.xml" ContentType="application/vnd.ms-office.chartcolorstyle+xml"/>
  <Override PartName="/xl/drawings/drawing14.xml" ContentType="application/vnd.openxmlformats-officedocument.drawing+xml"/>
  <Override PartName="/xl/charts/chart14.xml" ContentType="application/vnd.openxmlformats-officedocument.drawingml.chart+xml"/>
  <Override PartName="/xl/charts/style14.xml" ContentType="application/vnd.ms-office.chartstyle+xml"/>
  <Override PartName="/xl/charts/colors14.xml" ContentType="application/vnd.ms-office.chartcolorstyle+xml"/>
  <Override PartName="/xl/drawings/drawing15.xml" ContentType="application/vnd.openxmlformats-officedocument.drawing+xml"/>
  <Override PartName="/xl/charts/chart15.xml" ContentType="application/vnd.openxmlformats-officedocument.drawingml.chart+xml"/>
  <Override PartName="/xl/charts/style15.xml" ContentType="application/vnd.ms-office.chartstyle+xml"/>
  <Override PartName="/xl/charts/colors15.xml" ContentType="application/vnd.ms-office.chartcolorstyle+xml"/>
  <Override PartName="/xl/drawings/drawing16.xml" ContentType="application/vnd.openxmlformats-officedocument.drawing+xml"/>
  <Override PartName="/xl/charts/chart16.xml" ContentType="application/vnd.openxmlformats-officedocument.drawingml.chart+xml"/>
  <Override PartName="/xl/charts/style16.xml" ContentType="application/vnd.ms-office.chartstyle+xml"/>
  <Override PartName="/xl/charts/colors16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7830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preet\GitHub\NanoporeFYP\Experiment X\"/>
    </mc:Choice>
  </mc:AlternateContent>
  <xr:revisionPtr revIDLastSave="0" documentId="13_ncr:1_{850A71D1-0EED-448B-9723-1CB509F940BA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Ex X sd" sheetId="1" r:id="rId1"/>
    <sheet name="Ex X K" sheetId="2" r:id="rId2"/>
    <sheet name="R9.S.-.sd" sheetId="13" r:id="rId3"/>
    <sheet name="R9.S.Df.sd" sheetId="3" r:id="rId4"/>
    <sheet name="R9.S.Df.K" sheetId="4" r:id="rId5"/>
    <sheet name="R9.S.Dh.sd" sheetId="5" r:id="rId6"/>
    <sheet name="R9.S.Dh.K" sheetId="6" r:id="rId7"/>
    <sheet name="R9.S.Ds.sd" sheetId="7" r:id="rId8"/>
    <sheet name="R9.S.Ds.K" sheetId="8" r:id="rId9"/>
    <sheet name="R9.K.Ds.sd" sheetId="9" r:id="rId10"/>
    <sheet name="R9.K.Ds.K" sheetId="10" r:id="rId11"/>
    <sheet name="R10.K.Ds.cb" sheetId="14" r:id="rId12"/>
    <sheet name="R10.K.Ds.sd" sheetId="11" r:id="rId13"/>
    <sheet name="R10.K.Ds.K" sheetId="12" r:id="rId14"/>
    <sheet name="R10.S.S.sd" sheetId="15" r:id="rId15"/>
    <sheet name="R9.K.Ds.pad" sheetId="16" r:id="rId16"/>
    <sheet name="R10.K.Ds.pad" sheetId="17" r:id="rId17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89" i="17" l="1"/>
  <c r="O89" i="17" s="1"/>
  <c r="L89" i="17"/>
  <c r="N89" i="17" s="1"/>
  <c r="K89" i="17"/>
  <c r="J89" i="17"/>
  <c r="O88" i="17"/>
  <c r="M88" i="17"/>
  <c r="L88" i="17"/>
  <c r="K88" i="17"/>
  <c r="N88" i="17" s="1"/>
  <c r="J88" i="17"/>
  <c r="K87" i="17"/>
  <c r="J87" i="17"/>
  <c r="M87" i="17" s="1"/>
  <c r="O87" i="17" s="1"/>
  <c r="K86" i="17"/>
  <c r="J86" i="17"/>
  <c r="M86" i="17" s="1"/>
  <c r="O86" i="17" s="1"/>
  <c r="M85" i="17"/>
  <c r="O85" i="17" s="1"/>
  <c r="K85" i="17"/>
  <c r="J85" i="17"/>
  <c r="L85" i="17" s="1"/>
  <c r="M84" i="17"/>
  <c r="O84" i="17" s="1"/>
  <c r="L84" i="17"/>
  <c r="N84" i="17" s="1"/>
  <c r="K84" i="17"/>
  <c r="J84" i="17"/>
  <c r="K83" i="17"/>
  <c r="J83" i="17"/>
  <c r="M83" i="17" s="1"/>
  <c r="O83" i="17" s="1"/>
  <c r="M82" i="17"/>
  <c r="O82" i="17" s="1"/>
  <c r="L82" i="17"/>
  <c r="K82" i="17"/>
  <c r="N82" i="17" s="1"/>
  <c r="J82" i="17"/>
  <c r="K81" i="17"/>
  <c r="N81" i="17" s="1"/>
  <c r="J81" i="17"/>
  <c r="L81" i="17" s="1"/>
  <c r="M80" i="17"/>
  <c r="O80" i="17" s="1"/>
  <c r="K80" i="17"/>
  <c r="J80" i="17"/>
  <c r="L80" i="17" s="1"/>
  <c r="K79" i="17"/>
  <c r="J79" i="17"/>
  <c r="M79" i="17" s="1"/>
  <c r="O79" i="17" s="1"/>
  <c r="K78" i="17"/>
  <c r="J78" i="17"/>
  <c r="L78" i="17" s="1"/>
  <c r="K77" i="17"/>
  <c r="J77" i="17"/>
  <c r="M77" i="17" s="1"/>
  <c r="O77" i="17" s="1"/>
  <c r="K76" i="17"/>
  <c r="J76" i="17"/>
  <c r="M76" i="17" s="1"/>
  <c r="O76" i="17" s="1"/>
  <c r="K75" i="17"/>
  <c r="J75" i="17"/>
  <c r="M75" i="17" s="1"/>
  <c r="O75" i="17" s="1"/>
  <c r="K74" i="17"/>
  <c r="J74" i="17"/>
  <c r="L74" i="17" s="1"/>
  <c r="N74" i="17" s="1"/>
  <c r="K73" i="17"/>
  <c r="J73" i="17"/>
  <c r="M73" i="17" s="1"/>
  <c r="O73" i="17" s="1"/>
  <c r="K72" i="17"/>
  <c r="J72" i="17"/>
  <c r="M72" i="17" s="1"/>
  <c r="O72" i="17" s="1"/>
  <c r="K71" i="17"/>
  <c r="J71" i="17"/>
  <c r="M71" i="17" s="1"/>
  <c r="K70" i="17"/>
  <c r="J70" i="17"/>
  <c r="L70" i="17" s="1"/>
  <c r="K69" i="17"/>
  <c r="J69" i="17"/>
  <c r="L69" i="17" s="1"/>
  <c r="K67" i="17"/>
  <c r="J67" i="17"/>
  <c r="L67" i="17" s="1"/>
  <c r="N66" i="17"/>
  <c r="L66" i="17"/>
  <c r="K66" i="17"/>
  <c r="J66" i="17"/>
  <c r="M66" i="17" s="1"/>
  <c r="O66" i="17" s="1"/>
  <c r="K65" i="17"/>
  <c r="J65" i="17"/>
  <c r="M65" i="17" s="1"/>
  <c r="O65" i="17" s="1"/>
  <c r="K64" i="17"/>
  <c r="J64" i="17"/>
  <c r="L64" i="17" s="1"/>
  <c r="N64" i="17" s="1"/>
  <c r="M63" i="17"/>
  <c r="O63" i="17" s="1"/>
  <c r="L63" i="17"/>
  <c r="N63" i="17" s="1"/>
  <c r="K63" i="17"/>
  <c r="J63" i="17"/>
  <c r="K62" i="17"/>
  <c r="J62" i="17"/>
  <c r="M62" i="17" s="1"/>
  <c r="O62" i="17" s="1"/>
  <c r="M61" i="17"/>
  <c r="O61" i="17" s="1"/>
  <c r="L61" i="17"/>
  <c r="K61" i="17"/>
  <c r="N61" i="17" s="1"/>
  <c r="J61" i="17"/>
  <c r="K60" i="17"/>
  <c r="J60" i="17"/>
  <c r="M60" i="17" s="1"/>
  <c r="O60" i="17" s="1"/>
  <c r="M59" i="17"/>
  <c r="O59" i="17" s="1"/>
  <c r="K59" i="17"/>
  <c r="J59" i="17"/>
  <c r="L59" i="17" s="1"/>
  <c r="K58" i="17"/>
  <c r="J58" i="17"/>
  <c r="L58" i="17" s="1"/>
  <c r="K57" i="17"/>
  <c r="J57" i="17"/>
  <c r="L57" i="17" s="1"/>
  <c r="K56" i="17"/>
  <c r="J56" i="17"/>
  <c r="M56" i="17" s="1"/>
  <c r="O56" i="17" s="1"/>
  <c r="K55" i="17"/>
  <c r="J55" i="17"/>
  <c r="M55" i="17" s="1"/>
  <c r="O55" i="17" s="1"/>
  <c r="K54" i="17"/>
  <c r="J54" i="17"/>
  <c r="L54" i="17" s="1"/>
  <c r="K53" i="17"/>
  <c r="J53" i="17"/>
  <c r="L53" i="17" s="1"/>
  <c r="N53" i="17" s="1"/>
  <c r="K52" i="17"/>
  <c r="J52" i="17"/>
  <c r="M52" i="17" s="1"/>
  <c r="K51" i="17"/>
  <c r="J51" i="17"/>
  <c r="M51" i="17" s="1"/>
  <c r="K50" i="17"/>
  <c r="J50" i="17"/>
  <c r="L50" i="17" s="1"/>
  <c r="K49" i="17"/>
  <c r="J49" i="17"/>
  <c r="L49" i="17" s="1"/>
  <c r="K48" i="17"/>
  <c r="J48" i="17"/>
  <c r="L48" i="17" s="1"/>
  <c r="K47" i="17"/>
  <c r="J47" i="17"/>
  <c r="L47" i="17" s="1"/>
  <c r="N45" i="17"/>
  <c r="L45" i="17"/>
  <c r="K45" i="17"/>
  <c r="J45" i="17"/>
  <c r="M45" i="17" s="1"/>
  <c r="O45" i="17" s="1"/>
  <c r="K44" i="17"/>
  <c r="J44" i="17"/>
  <c r="M44" i="17" s="1"/>
  <c r="O44" i="17" s="1"/>
  <c r="K43" i="17"/>
  <c r="J43" i="17"/>
  <c r="L43" i="17" s="1"/>
  <c r="M42" i="17"/>
  <c r="O42" i="17" s="1"/>
  <c r="L42" i="17"/>
  <c r="N42" i="17" s="1"/>
  <c r="K42" i="17"/>
  <c r="J42" i="17"/>
  <c r="K41" i="17"/>
  <c r="J41" i="17"/>
  <c r="M41" i="17" s="1"/>
  <c r="O41" i="17" s="1"/>
  <c r="M40" i="17"/>
  <c r="O40" i="17" s="1"/>
  <c r="L40" i="17"/>
  <c r="K40" i="17"/>
  <c r="N40" i="17" s="1"/>
  <c r="J40" i="17"/>
  <c r="K39" i="17"/>
  <c r="J39" i="17"/>
  <c r="L39" i="17" s="1"/>
  <c r="M38" i="17"/>
  <c r="O38" i="17" s="1"/>
  <c r="K38" i="17"/>
  <c r="J38" i="17"/>
  <c r="L38" i="17" s="1"/>
  <c r="K37" i="17"/>
  <c r="N37" i="17" s="1"/>
  <c r="J37" i="17"/>
  <c r="L37" i="17" s="1"/>
  <c r="K36" i="17"/>
  <c r="J36" i="17"/>
  <c r="L36" i="17" s="1"/>
  <c r="K35" i="17"/>
  <c r="J35" i="17"/>
  <c r="M35" i="17" s="1"/>
  <c r="O35" i="17" s="1"/>
  <c r="K34" i="17"/>
  <c r="J34" i="17"/>
  <c r="M34" i="17" s="1"/>
  <c r="O34" i="17" s="1"/>
  <c r="K33" i="17"/>
  <c r="J33" i="17"/>
  <c r="L33" i="17" s="1"/>
  <c r="K32" i="17"/>
  <c r="J32" i="17"/>
  <c r="M32" i="17" s="1"/>
  <c r="O32" i="17" s="1"/>
  <c r="K31" i="17"/>
  <c r="J31" i="17"/>
  <c r="M31" i="17" s="1"/>
  <c r="K30" i="17"/>
  <c r="J30" i="17"/>
  <c r="L30" i="17" s="1"/>
  <c r="K29" i="17"/>
  <c r="J29" i="17"/>
  <c r="L29" i="17" s="1"/>
  <c r="K28" i="17"/>
  <c r="J28" i="17"/>
  <c r="L28" i="17" s="1"/>
  <c r="K27" i="17"/>
  <c r="J27" i="17"/>
  <c r="M27" i="17" s="1"/>
  <c r="K26" i="17"/>
  <c r="J26" i="17"/>
  <c r="M26" i="17" s="1"/>
  <c r="O26" i="17" s="1"/>
  <c r="K25" i="17"/>
  <c r="J25" i="17"/>
  <c r="M25" i="17" s="1"/>
  <c r="O25" i="17" s="1"/>
  <c r="K23" i="17"/>
  <c r="J23" i="17"/>
  <c r="M23" i="17" s="1"/>
  <c r="O23" i="17" s="1"/>
  <c r="K22" i="17"/>
  <c r="J22" i="17"/>
  <c r="L22" i="17" s="1"/>
  <c r="M21" i="17"/>
  <c r="O21" i="17" s="1"/>
  <c r="L21" i="17"/>
  <c r="N21" i="17" s="1"/>
  <c r="K21" i="17"/>
  <c r="J21" i="17"/>
  <c r="K20" i="17"/>
  <c r="J20" i="17"/>
  <c r="M20" i="17" s="1"/>
  <c r="O20" i="17" s="1"/>
  <c r="M19" i="17"/>
  <c r="O19" i="17" s="1"/>
  <c r="L19" i="17"/>
  <c r="K19" i="17"/>
  <c r="N19" i="17" s="1"/>
  <c r="J19" i="17"/>
  <c r="K18" i="17"/>
  <c r="J18" i="17"/>
  <c r="L18" i="17" s="1"/>
  <c r="M17" i="17"/>
  <c r="O17" i="17" s="1"/>
  <c r="K17" i="17"/>
  <c r="J17" i="17"/>
  <c r="L17" i="17" s="1"/>
  <c r="K16" i="17"/>
  <c r="J16" i="17"/>
  <c r="M16" i="17" s="1"/>
  <c r="O16" i="17" s="1"/>
  <c r="K15" i="17"/>
  <c r="J15" i="17"/>
  <c r="M15" i="17" s="1"/>
  <c r="O15" i="17" s="1"/>
  <c r="N14" i="17"/>
  <c r="L14" i="17"/>
  <c r="K14" i="17"/>
  <c r="J14" i="17"/>
  <c r="M14" i="17" s="1"/>
  <c r="O14" i="17" s="1"/>
  <c r="K13" i="17"/>
  <c r="J13" i="17"/>
  <c r="M13" i="17" s="1"/>
  <c r="K12" i="17"/>
  <c r="J12" i="17"/>
  <c r="L12" i="17" s="1"/>
  <c r="K11" i="17"/>
  <c r="J11" i="17"/>
  <c r="M11" i="17" s="1"/>
  <c r="O11" i="17" s="1"/>
  <c r="K10" i="17"/>
  <c r="J10" i="17"/>
  <c r="M10" i="17" s="1"/>
  <c r="O10" i="17" s="1"/>
  <c r="M9" i="17"/>
  <c r="O9" i="17" s="1"/>
  <c r="K9" i="17"/>
  <c r="J9" i="17"/>
  <c r="L9" i="17" s="1"/>
  <c r="K8" i="17"/>
  <c r="J8" i="17"/>
  <c r="M8" i="17" s="1"/>
  <c r="O8" i="17" s="1"/>
  <c r="K7" i="17"/>
  <c r="J7" i="17"/>
  <c r="M7" i="17" s="1"/>
  <c r="O7" i="17" s="1"/>
  <c r="K6" i="17"/>
  <c r="J6" i="17"/>
  <c r="L6" i="17" s="1"/>
  <c r="K5" i="17"/>
  <c r="J5" i="17"/>
  <c r="M5" i="17" s="1"/>
  <c r="K4" i="17"/>
  <c r="J4" i="17"/>
  <c r="M4" i="17" s="1"/>
  <c r="O4" i="17" s="1"/>
  <c r="K3" i="17"/>
  <c r="J3" i="17"/>
  <c r="M3" i="17" s="1"/>
  <c r="O3" i="17" s="1"/>
  <c r="K89" i="16"/>
  <c r="J89" i="16"/>
  <c r="M89" i="16" s="1"/>
  <c r="O89" i="16" s="1"/>
  <c r="K88" i="16"/>
  <c r="J88" i="16"/>
  <c r="M88" i="16" s="1"/>
  <c r="O88" i="16" s="1"/>
  <c r="K87" i="16"/>
  <c r="J87" i="16"/>
  <c r="M87" i="16" s="1"/>
  <c r="O87" i="16" s="1"/>
  <c r="K86" i="16"/>
  <c r="J86" i="16"/>
  <c r="M86" i="16" s="1"/>
  <c r="O86" i="16" s="1"/>
  <c r="O85" i="16"/>
  <c r="N85" i="16"/>
  <c r="M85" i="16"/>
  <c r="L85" i="16"/>
  <c r="K85" i="16"/>
  <c r="J85" i="16"/>
  <c r="K84" i="16"/>
  <c r="J84" i="16"/>
  <c r="M84" i="16" s="1"/>
  <c r="O84" i="16" s="1"/>
  <c r="K83" i="16"/>
  <c r="J83" i="16"/>
  <c r="M83" i="16" s="1"/>
  <c r="O83" i="16" s="1"/>
  <c r="M82" i="16"/>
  <c r="O82" i="16" s="1"/>
  <c r="L82" i="16"/>
  <c r="N82" i="16" s="1"/>
  <c r="K82" i="16"/>
  <c r="J82" i="16"/>
  <c r="K81" i="16"/>
  <c r="J81" i="16"/>
  <c r="M81" i="16" s="1"/>
  <c r="O81" i="16" s="1"/>
  <c r="M80" i="16"/>
  <c r="O80" i="16" s="1"/>
  <c r="L80" i="16"/>
  <c r="K80" i="16"/>
  <c r="N80" i="16" s="1"/>
  <c r="J80" i="16"/>
  <c r="K79" i="16"/>
  <c r="J79" i="16"/>
  <c r="M79" i="16" s="1"/>
  <c r="O79" i="16" s="1"/>
  <c r="K78" i="16"/>
  <c r="J78" i="16"/>
  <c r="L78" i="16" s="1"/>
  <c r="K77" i="16"/>
  <c r="J77" i="16"/>
  <c r="M77" i="16" s="1"/>
  <c r="O77" i="16" s="1"/>
  <c r="K76" i="16"/>
  <c r="J76" i="16"/>
  <c r="M76" i="16" s="1"/>
  <c r="O76" i="16" s="1"/>
  <c r="K75" i="16"/>
  <c r="J75" i="16"/>
  <c r="L75" i="16" s="1"/>
  <c r="K74" i="16"/>
  <c r="J74" i="16"/>
  <c r="M74" i="16" s="1"/>
  <c r="O74" i="16" s="1"/>
  <c r="K73" i="16"/>
  <c r="J73" i="16"/>
  <c r="L73" i="16" s="1"/>
  <c r="N73" i="16" s="1"/>
  <c r="K72" i="16"/>
  <c r="J72" i="16"/>
  <c r="M72" i="16" s="1"/>
  <c r="K71" i="16"/>
  <c r="J71" i="16"/>
  <c r="M71" i="16" s="1"/>
  <c r="O71" i="16" s="1"/>
  <c r="K70" i="16"/>
  <c r="J70" i="16"/>
  <c r="M70" i="16" s="1"/>
  <c r="O70" i="16" s="1"/>
  <c r="K69" i="16"/>
  <c r="J69" i="16"/>
  <c r="M69" i="16" s="1"/>
  <c r="O69" i="16" s="1"/>
  <c r="O67" i="16"/>
  <c r="M67" i="16"/>
  <c r="L67" i="16"/>
  <c r="K67" i="16"/>
  <c r="N67" i="16" s="1"/>
  <c r="J67" i="16"/>
  <c r="K66" i="16"/>
  <c r="J66" i="16"/>
  <c r="M66" i="16" s="1"/>
  <c r="O66" i="16" s="1"/>
  <c r="K65" i="16"/>
  <c r="J65" i="16"/>
  <c r="L65" i="16" s="1"/>
  <c r="K64" i="16"/>
  <c r="J64" i="16"/>
  <c r="M64" i="16" s="1"/>
  <c r="O64" i="16" s="1"/>
  <c r="K63" i="16"/>
  <c r="J63" i="16"/>
  <c r="L63" i="16" s="1"/>
  <c r="K62" i="16"/>
  <c r="J62" i="16"/>
  <c r="L62" i="16" s="1"/>
  <c r="N62" i="16" s="1"/>
  <c r="K61" i="16"/>
  <c r="J61" i="16"/>
  <c r="M61" i="16" s="1"/>
  <c r="O61" i="16" s="1"/>
  <c r="K60" i="16"/>
  <c r="J60" i="16"/>
  <c r="L60" i="16" s="1"/>
  <c r="K59" i="16"/>
  <c r="J59" i="16"/>
  <c r="L59" i="16" s="1"/>
  <c r="K58" i="16"/>
  <c r="J58" i="16"/>
  <c r="L58" i="16" s="1"/>
  <c r="K57" i="16"/>
  <c r="J57" i="16"/>
  <c r="L57" i="16" s="1"/>
  <c r="K56" i="16"/>
  <c r="J56" i="16"/>
  <c r="M56" i="16" s="1"/>
  <c r="K55" i="16"/>
  <c r="J55" i="16"/>
  <c r="M55" i="16" s="1"/>
  <c r="O55" i="16" s="1"/>
  <c r="K54" i="16"/>
  <c r="J54" i="16"/>
  <c r="M54" i="16" s="1"/>
  <c r="O54" i="16" s="1"/>
  <c r="K53" i="16"/>
  <c r="J53" i="16"/>
  <c r="L53" i="16" s="1"/>
  <c r="K52" i="16"/>
  <c r="J52" i="16"/>
  <c r="L52" i="16" s="1"/>
  <c r="K51" i="16"/>
  <c r="J51" i="16"/>
  <c r="M51" i="16" s="1"/>
  <c r="O51" i="16" s="1"/>
  <c r="K50" i="16"/>
  <c r="J50" i="16"/>
  <c r="L50" i="16" s="1"/>
  <c r="K49" i="16"/>
  <c r="J49" i="16"/>
  <c r="M49" i="16" s="1"/>
  <c r="K48" i="16"/>
  <c r="J48" i="16"/>
  <c r="L48" i="16" s="1"/>
  <c r="K47" i="16"/>
  <c r="J47" i="16"/>
  <c r="L47" i="16" s="1"/>
  <c r="K45" i="16"/>
  <c r="J45" i="16"/>
  <c r="M45" i="16" s="1"/>
  <c r="K44" i="16"/>
  <c r="J44" i="16"/>
  <c r="M44" i="16" s="1"/>
  <c r="K43" i="16"/>
  <c r="J43" i="16"/>
  <c r="M43" i="16" s="1"/>
  <c r="O43" i="16" s="1"/>
  <c r="K42" i="16"/>
  <c r="J42" i="16"/>
  <c r="L42" i="16" s="1"/>
  <c r="K41" i="16"/>
  <c r="J41" i="16"/>
  <c r="L41" i="16" s="1"/>
  <c r="N41" i="16" s="1"/>
  <c r="K40" i="16"/>
  <c r="J40" i="16"/>
  <c r="M40" i="16" s="1"/>
  <c r="O40" i="16" s="1"/>
  <c r="K39" i="16"/>
  <c r="J39" i="16"/>
  <c r="L39" i="16" s="1"/>
  <c r="N39" i="16" s="1"/>
  <c r="M38" i="16"/>
  <c r="O38" i="16" s="1"/>
  <c r="K38" i="16"/>
  <c r="J38" i="16"/>
  <c r="L38" i="16" s="1"/>
  <c r="K37" i="16"/>
  <c r="J37" i="16"/>
  <c r="M37" i="16" s="1"/>
  <c r="O37" i="16" s="1"/>
  <c r="L36" i="16"/>
  <c r="K36" i="16"/>
  <c r="N36" i="16" s="1"/>
  <c r="J36" i="16"/>
  <c r="M36" i="16" s="1"/>
  <c r="O36" i="16" s="1"/>
  <c r="K35" i="16"/>
  <c r="J35" i="16"/>
  <c r="M35" i="16" s="1"/>
  <c r="O35" i="16" s="1"/>
  <c r="K34" i="16"/>
  <c r="J34" i="16"/>
  <c r="M34" i="16" s="1"/>
  <c r="K33" i="16"/>
  <c r="J33" i="16"/>
  <c r="L33" i="16" s="1"/>
  <c r="K32" i="16"/>
  <c r="J32" i="16"/>
  <c r="M32" i="16" s="1"/>
  <c r="K31" i="16"/>
  <c r="J31" i="16"/>
  <c r="L31" i="16" s="1"/>
  <c r="K30" i="16"/>
  <c r="J30" i="16"/>
  <c r="M30" i="16" s="1"/>
  <c r="O30" i="16" s="1"/>
  <c r="K29" i="16"/>
  <c r="J29" i="16"/>
  <c r="L29" i="16" s="1"/>
  <c r="K28" i="16"/>
  <c r="J28" i="16"/>
  <c r="L28" i="16" s="1"/>
  <c r="K27" i="16"/>
  <c r="J27" i="16"/>
  <c r="L27" i="16" s="1"/>
  <c r="K26" i="16"/>
  <c r="J26" i="16"/>
  <c r="M26" i="16" s="1"/>
  <c r="O26" i="16" s="1"/>
  <c r="K25" i="16"/>
  <c r="J25" i="16"/>
  <c r="L25" i="16" s="1"/>
  <c r="K23" i="16"/>
  <c r="J23" i="16"/>
  <c r="M23" i="16" s="1"/>
  <c r="O23" i="16" s="1"/>
  <c r="K22" i="16"/>
  <c r="J22" i="16"/>
  <c r="M22" i="16" s="1"/>
  <c r="O22" i="16" s="1"/>
  <c r="K21" i="16"/>
  <c r="J21" i="16"/>
  <c r="M21" i="16" s="1"/>
  <c r="O21" i="16" s="1"/>
  <c r="K20" i="16"/>
  <c r="J20" i="16"/>
  <c r="L20" i="16" s="1"/>
  <c r="N20" i="16" s="1"/>
  <c r="K19" i="16"/>
  <c r="J19" i="16"/>
  <c r="M19" i="16" s="1"/>
  <c r="O19" i="16" s="1"/>
  <c r="K18" i="16"/>
  <c r="J18" i="16"/>
  <c r="L18" i="16" s="1"/>
  <c r="N18" i="16" s="1"/>
  <c r="M17" i="16"/>
  <c r="L17" i="16"/>
  <c r="K17" i="16"/>
  <c r="N17" i="16" s="1"/>
  <c r="J17" i="16"/>
  <c r="K16" i="16"/>
  <c r="J16" i="16"/>
  <c r="M16" i="16" s="1"/>
  <c r="O16" i="16" s="1"/>
  <c r="K15" i="16"/>
  <c r="J15" i="16"/>
  <c r="M15" i="16" s="1"/>
  <c r="O15" i="16" s="1"/>
  <c r="K14" i="16"/>
  <c r="J14" i="16"/>
  <c r="L14" i="16" s="1"/>
  <c r="K13" i="16"/>
  <c r="J13" i="16"/>
  <c r="L13" i="16" s="1"/>
  <c r="K12" i="16"/>
  <c r="J12" i="16"/>
  <c r="M12" i="16" s="1"/>
  <c r="K11" i="16"/>
  <c r="J11" i="16"/>
  <c r="L11" i="16" s="1"/>
  <c r="K10" i="16"/>
  <c r="J10" i="16"/>
  <c r="L10" i="16" s="1"/>
  <c r="N10" i="16" s="1"/>
  <c r="K9" i="16"/>
  <c r="J9" i="16"/>
  <c r="M9" i="16" s="1"/>
  <c r="K8" i="16"/>
  <c r="J8" i="16"/>
  <c r="L8" i="16" s="1"/>
  <c r="N8" i="16" s="1"/>
  <c r="K7" i="16"/>
  <c r="J7" i="16"/>
  <c r="M7" i="16" s="1"/>
  <c r="K6" i="16"/>
  <c r="J6" i="16"/>
  <c r="M6" i="16" s="1"/>
  <c r="O6" i="16" s="1"/>
  <c r="K5" i="16"/>
  <c r="J5" i="16"/>
  <c r="M5" i="16" s="1"/>
  <c r="O5" i="16" s="1"/>
  <c r="K4" i="16"/>
  <c r="J4" i="16"/>
  <c r="L4" i="16" s="1"/>
  <c r="K3" i="16"/>
  <c r="J3" i="16"/>
  <c r="M3" i="16" s="1"/>
  <c r="L35" i="17" l="1"/>
  <c r="N35" i="17" s="1"/>
  <c r="O13" i="17"/>
  <c r="L56" i="17"/>
  <c r="N56" i="17" s="1"/>
  <c r="L77" i="17"/>
  <c r="N77" i="17" s="1"/>
  <c r="L11" i="17"/>
  <c r="N11" i="17" s="1"/>
  <c r="L32" i="17"/>
  <c r="N32" i="17" s="1"/>
  <c r="M53" i="17"/>
  <c r="O53" i="17" s="1"/>
  <c r="O31" i="17"/>
  <c r="N9" i="17"/>
  <c r="M74" i="17"/>
  <c r="O74" i="17" s="1"/>
  <c r="O52" i="17"/>
  <c r="M30" i="17"/>
  <c r="O30" i="17" s="1"/>
  <c r="N30" i="17"/>
  <c r="O51" i="17"/>
  <c r="O71" i="17"/>
  <c r="M70" i="17"/>
  <c r="O70" i="17" s="1"/>
  <c r="O12" i="16"/>
  <c r="N78" i="16"/>
  <c r="O72" i="16"/>
  <c r="M78" i="16"/>
  <c r="O78" i="16" s="1"/>
  <c r="L70" i="16"/>
  <c r="N75" i="16"/>
  <c r="N57" i="16"/>
  <c r="N52" i="16"/>
  <c r="O32" i="16"/>
  <c r="N33" i="16"/>
  <c r="M33" i="16"/>
  <c r="O33" i="16" s="1"/>
  <c r="O34" i="16"/>
  <c r="N31" i="16"/>
  <c r="M75" i="16"/>
  <c r="O75" i="16" s="1"/>
  <c r="O9" i="16"/>
  <c r="L72" i="17"/>
  <c r="N72" i="17" s="1"/>
  <c r="M49" i="17"/>
  <c r="O49" i="17" s="1"/>
  <c r="L51" i="17"/>
  <c r="N51" i="17" s="1"/>
  <c r="N25" i="17"/>
  <c r="L25" i="17"/>
  <c r="M28" i="17"/>
  <c r="O28" i="17" s="1"/>
  <c r="O27" i="17"/>
  <c r="L7" i="17"/>
  <c r="N7" i="17" s="1"/>
  <c r="L4" i="17"/>
  <c r="N4" i="17" s="1"/>
  <c r="O5" i="17"/>
  <c r="N78" i="17"/>
  <c r="N69" i="17"/>
  <c r="N54" i="17"/>
  <c r="N23" i="17"/>
  <c r="N39" i="17"/>
  <c r="N49" i="17"/>
  <c r="N33" i="17"/>
  <c r="N80" i="17"/>
  <c r="N87" i="17"/>
  <c r="N18" i="17"/>
  <c r="N50" i="17"/>
  <c r="N57" i="17"/>
  <c r="N38" i="17"/>
  <c r="N22" i="17"/>
  <c r="N70" i="17"/>
  <c r="N47" i="17"/>
  <c r="N85" i="17"/>
  <c r="N17" i="17"/>
  <c r="N58" i="17"/>
  <c r="N12" i="17"/>
  <c r="N20" i="17"/>
  <c r="N43" i="17"/>
  <c r="N29" i="17"/>
  <c r="N36" i="17"/>
  <c r="N48" i="17"/>
  <c r="N28" i="17"/>
  <c r="N59" i="17"/>
  <c r="N6" i="17"/>
  <c r="N44" i="17"/>
  <c r="N60" i="17"/>
  <c r="N67" i="17"/>
  <c r="N83" i="17"/>
  <c r="L71" i="17"/>
  <c r="N71" i="17" s="1"/>
  <c r="M18" i="17"/>
  <c r="O18" i="17" s="1"/>
  <c r="M39" i="17"/>
  <c r="O39" i="17" s="1"/>
  <c r="M50" i="17"/>
  <c r="O50" i="17" s="1"/>
  <c r="L15" i="17"/>
  <c r="N15" i="17" s="1"/>
  <c r="L16" i="17"/>
  <c r="N16" i="17" s="1"/>
  <c r="L79" i="17"/>
  <c r="N79" i="17" s="1"/>
  <c r="M37" i="17"/>
  <c r="O37" i="17" s="1"/>
  <c r="M48" i="17"/>
  <c r="O48" i="17" s="1"/>
  <c r="M58" i="17"/>
  <c r="O58" i="17" s="1"/>
  <c r="M69" i="17"/>
  <c r="O69" i="17" s="1"/>
  <c r="L3" i="17"/>
  <c r="N3" i="17" s="1"/>
  <c r="L13" i="17"/>
  <c r="N13" i="17" s="1"/>
  <c r="L23" i="17"/>
  <c r="L34" i="17"/>
  <c r="N34" i="17" s="1"/>
  <c r="L44" i="17"/>
  <c r="L55" i="17"/>
  <c r="N55" i="17" s="1"/>
  <c r="L65" i="17"/>
  <c r="N65" i="17" s="1"/>
  <c r="L76" i="17"/>
  <c r="N76" i="17" s="1"/>
  <c r="L86" i="17"/>
  <c r="N86" i="17" s="1"/>
  <c r="L10" i="17"/>
  <c r="N10" i="17" s="1"/>
  <c r="L20" i="17"/>
  <c r="L31" i="17"/>
  <c r="N31" i="17" s="1"/>
  <c r="L41" i="17"/>
  <c r="N41" i="17" s="1"/>
  <c r="L52" i="17"/>
  <c r="N52" i="17" s="1"/>
  <c r="L62" i="17"/>
  <c r="N62" i="17" s="1"/>
  <c r="L73" i="17"/>
  <c r="N73" i="17" s="1"/>
  <c r="L83" i="17"/>
  <c r="L60" i="17"/>
  <c r="M81" i="17"/>
  <c r="O81" i="17" s="1"/>
  <c r="M33" i="17"/>
  <c r="O33" i="17" s="1"/>
  <c r="L5" i="17"/>
  <c r="N5" i="17" s="1"/>
  <c r="M12" i="17"/>
  <c r="O12" i="17" s="1"/>
  <c r="M22" i="17"/>
  <c r="O22" i="17" s="1"/>
  <c r="M6" i="17"/>
  <c r="O6" i="17" s="1"/>
  <c r="L87" i="17"/>
  <c r="L26" i="17"/>
  <c r="N26" i="17" s="1"/>
  <c r="M43" i="17"/>
  <c r="O43" i="17" s="1"/>
  <c r="M54" i="17"/>
  <c r="O54" i="17" s="1"/>
  <c r="M64" i="17"/>
  <c r="O64" i="17" s="1"/>
  <c r="L27" i="17"/>
  <c r="N27" i="17" s="1"/>
  <c r="M29" i="17"/>
  <c r="O29" i="17" s="1"/>
  <c r="M36" i="17"/>
  <c r="O36" i="17" s="1"/>
  <c r="M47" i="17"/>
  <c r="O47" i="17" s="1"/>
  <c r="M57" i="17"/>
  <c r="O57" i="17" s="1"/>
  <c r="M67" i="17"/>
  <c r="O67" i="17" s="1"/>
  <c r="M78" i="17"/>
  <c r="O78" i="17" s="1"/>
  <c r="L8" i="17"/>
  <c r="N8" i="17" s="1"/>
  <c r="L75" i="17"/>
  <c r="N75" i="17" s="1"/>
  <c r="L72" i="16"/>
  <c r="N72" i="16" s="1"/>
  <c r="M50" i="16"/>
  <c r="O50" i="16" s="1"/>
  <c r="L49" i="16"/>
  <c r="N49" i="16" s="1"/>
  <c r="L5" i="16"/>
  <c r="N5" i="16" s="1"/>
  <c r="N70" i="16"/>
  <c r="O3" i="16"/>
  <c r="O7" i="16"/>
  <c r="M73" i="16"/>
  <c r="O73" i="16" s="1"/>
  <c r="N29" i="16"/>
  <c r="N64" i="16"/>
  <c r="N47" i="16"/>
  <c r="M57" i="16"/>
  <c r="O57" i="16" s="1"/>
  <c r="M52" i="16"/>
  <c r="O52" i="16" s="1"/>
  <c r="M47" i="16"/>
  <c r="O47" i="16" s="1"/>
  <c r="L54" i="16"/>
  <c r="N54" i="16" s="1"/>
  <c r="M60" i="16"/>
  <c r="O60" i="16" s="1"/>
  <c r="M62" i="16"/>
  <c r="O62" i="16" s="1"/>
  <c r="L64" i="16"/>
  <c r="M59" i="16"/>
  <c r="O59" i="16" s="1"/>
  <c r="L51" i="16"/>
  <c r="N51" i="16" s="1"/>
  <c r="N59" i="16"/>
  <c r="O49" i="16"/>
  <c r="L61" i="16"/>
  <c r="N61" i="16" s="1"/>
  <c r="O56" i="16"/>
  <c r="N26" i="16"/>
  <c r="N43" i="16"/>
  <c r="N28" i="16"/>
  <c r="L40" i="16"/>
  <c r="N40" i="16" s="1"/>
  <c r="M29" i="16"/>
  <c r="O29" i="16" s="1"/>
  <c r="M28" i="16"/>
  <c r="O28" i="16" s="1"/>
  <c r="O45" i="16"/>
  <c r="M39" i="16"/>
  <c r="O39" i="16" s="1"/>
  <c r="M41" i="16"/>
  <c r="O41" i="16" s="1"/>
  <c r="L30" i="16"/>
  <c r="N30" i="16" s="1"/>
  <c r="L43" i="16"/>
  <c r="M31" i="16"/>
  <c r="O31" i="16" s="1"/>
  <c r="L26" i="16"/>
  <c r="N38" i="16"/>
  <c r="O44" i="16"/>
  <c r="M8" i="16"/>
  <c r="O8" i="16" s="1"/>
  <c r="M20" i="16"/>
  <c r="O20" i="16" s="1"/>
  <c r="L15" i="16"/>
  <c r="N15" i="16" s="1"/>
  <c r="L9" i="16"/>
  <c r="N9" i="16" s="1"/>
  <c r="L22" i="16"/>
  <c r="N22" i="16" s="1"/>
  <c r="M10" i="16"/>
  <c r="O10" i="16" s="1"/>
  <c r="O17" i="16"/>
  <c r="L12" i="16"/>
  <c r="N12" i="16" s="1"/>
  <c r="M18" i="16"/>
  <c r="O18" i="16" s="1"/>
  <c r="L7" i="16"/>
  <c r="N7" i="16" s="1"/>
  <c r="L19" i="16"/>
  <c r="N19" i="16" s="1"/>
  <c r="N13" i="16"/>
  <c r="N58" i="16"/>
  <c r="N60" i="16"/>
  <c r="N53" i="16"/>
  <c r="N88" i="16"/>
  <c r="N63" i="16"/>
  <c r="N89" i="16"/>
  <c r="N65" i="16"/>
  <c r="N48" i="16"/>
  <c r="N14" i="16"/>
  <c r="N27" i="16"/>
  <c r="N4" i="16"/>
  <c r="N11" i="16"/>
  <c r="N42" i="16"/>
  <c r="N25" i="16"/>
  <c r="N50" i="16"/>
  <c r="L37" i="16"/>
  <c r="N37" i="16" s="1"/>
  <c r="L69" i="16"/>
  <c r="N69" i="16" s="1"/>
  <c r="L79" i="16"/>
  <c r="N79" i="16" s="1"/>
  <c r="M27" i="16"/>
  <c r="O27" i="16" s="1"/>
  <c r="M48" i="16"/>
  <c r="O48" i="16" s="1"/>
  <c r="M58" i="16"/>
  <c r="O58" i="16" s="1"/>
  <c r="L3" i="16"/>
  <c r="N3" i="16" s="1"/>
  <c r="L23" i="16"/>
  <c r="N23" i="16" s="1"/>
  <c r="L34" i="16"/>
  <c r="N34" i="16" s="1"/>
  <c r="L44" i="16"/>
  <c r="N44" i="16" s="1"/>
  <c r="L55" i="16"/>
  <c r="N55" i="16" s="1"/>
  <c r="M13" i="16"/>
  <c r="O13" i="16" s="1"/>
  <c r="M65" i="16"/>
  <c r="O65" i="16" s="1"/>
  <c r="L83" i="16"/>
  <c r="N83" i="16" s="1"/>
  <c r="L87" i="16"/>
  <c r="N87" i="16" s="1"/>
  <c r="L35" i="16"/>
  <c r="N35" i="16" s="1"/>
  <c r="L45" i="16"/>
  <c r="N45" i="16" s="1"/>
  <c r="L56" i="16"/>
  <c r="N56" i="16" s="1"/>
  <c r="L66" i="16"/>
  <c r="N66" i="16" s="1"/>
  <c r="L77" i="16"/>
  <c r="N77" i="16" s="1"/>
  <c r="M4" i="16"/>
  <c r="O4" i="16" s="1"/>
  <c r="M14" i="16"/>
  <c r="O14" i="16" s="1"/>
  <c r="M25" i="16"/>
  <c r="O25" i="16" s="1"/>
  <c r="L84" i="16"/>
  <c r="N84" i="16" s="1"/>
  <c r="L21" i="16"/>
  <c r="N21" i="16" s="1"/>
  <c r="L32" i="16"/>
  <c r="N32" i="16" s="1"/>
  <c r="L74" i="16"/>
  <c r="N74" i="16" s="1"/>
  <c r="M11" i="16"/>
  <c r="O11" i="16" s="1"/>
  <c r="M42" i="16"/>
  <c r="O42" i="16" s="1"/>
  <c r="M53" i="16"/>
  <c r="O53" i="16" s="1"/>
  <c r="M63" i="16"/>
  <c r="O63" i="16" s="1"/>
  <c r="L16" i="16"/>
  <c r="N16" i="16" s="1"/>
  <c r="L71" i="16"/>
  <c r="N71" i="16" s="1"/>
  <c r="L81" i="16"/>
  <c r="N81" i="16" s="1"/>
  <c r="L88" i="16"/>
  <c r="L89" i="16"/>
  <c r="L86" i="16"/>
  <c r="N86" i="16" s="1"/>
  <c r="L6" i="16"/>
  <c r="N6" i="16" s="1"/>
  <c r="L76" i="16"/>
  <c r="N76" i="16" s="1"/>
  <c r="K89" i="15" l="1"/>
  <c r="J89" i="15"/>
  <c r="M89" i="15" s="1"/>
  <c r="O89" i="15" s="1"/>
  <c r="K88" i="15"/>
  <c r="J88" i="15"/>
  <c r="M88" i="15" s="1"/>
  <c r="O88" i="15" s="1"/>
  <c r="K87" i="15"/>
  <c r="J87" i="15"/>
  <c r="M87" i="15" s="1"/>
  <c r="O87" i="15" s="1"/>
  <c r="K86" i="15"/>
  <c r="J86" i="15"/>
  <c r="M86" i="15" s="1"/>
  <c r="K85" i="15"/>
  <c r="J85" i="15"/>
  <c r="M85" i="15" s="1"/>
  <c r="K84" i="15"/>
  <c r="J84" i="15"/>
  <c r="M84" i="15" s="1"/>
  <c r="K83" i="15"/>
  <c r="J83" i="15"/>
  <c r="M83" i="15" s="1"/>
  <c r="O83" i="15" s="1"/>
  <c r="K82" i="15"/>
  <c r="J82" i="15"/>
  <c r="M82" i="15" s="1"/>
  <c r="O82" i="15" s="1"/>
  <c r="L81" i="15"/>
  <c r="N81" i="15" s="1"/>
  <c r="K81" i="15"/>
  <c r="J81" i="15"/>
  <c r="M81" i="15" s="1"/>
  <c r="O81" i="15" s="1"/>
  <c r="M80" i="15"/>
  <c r="O80" i="15" s="1"/>
  <c r="L80" i="15"/>
  <c r="N80" i="15" s="1"/>
  <c r="K80" i="15"/>
  <c r="J80" i="15"/>
  <c r="K79" i="15"/>
  <c r="J79" i="15"/>
  <c r="M79" i="15" s="1"/>
  <c r="K78" i="15"/>
  <c r="J78" i="15"/>
  <c r="M78" i="15" s="1"/>
  <c r="K77" i="15"/>
  <c r="J77" i="15"/>
  <c r="M77" i="15" s="1"/>
  <c r="K76" i="15"/>
  <c r="J76" i="15"/>
  <c r="M76" i="15" s="1"/>
  <c r="O76" i="15" s="1"/>
  <c r="K75" i="15"/>
  <c r="J75" i="15"/>
  <c r="M75" i="15" s="1"/>
  <c r="O75" i="15" s="1"/>
  <c r="K74" i="15"/>
  <c r="J74" i="15"/>
  <c r="M74" i="15" s="1"/>
  <c r="O74" i="15" s="1"/>
  <c r="K73" i="15"/>
  <c r="J73" i="15"/>
  <c r="M73" i="15" s="1"/>
  <c r="O73" i="15" s="1"/>
  <c r="M72" i="15"/>
  <c r="O72" i="15" s="1"/>
  <c r="L72" i="15"/>
  <c r="N72" i="15" s="1"/>
  <c r="K72" i="15"/>
  <c r="J72" i="15"/>
  <c r="M71" i="15"/>
  <c r="O71" i="15" s="1"/>
  <c r="K71" i="15"/>
  <c r="J71" i="15"/>
  <c r="L71" i="15" s="1"/>
  <c r="N71" i="15" s="1"/>
  <c r="K70" i="15"/>
  <c r="J70" i="15"/>
  <c r="M70" i="15" s="1"/>
  <c r="O70" i="15" s="1"/>
  <c r="K69" i="15"/>
  <c r="J69" i="15"/>
  <c r="M69" i="15" s="1"/>
  <c r="O69" i="15" s="1"/>
  <c r="K67" i="15"/>
  <c r="J67" i="15"/>
  <c r="M67" i="15" s="1"/>
  <c r="O67" i="15" s="1"/>
  <c r="K66" i="15"/>
  <c r="J66" i="15"/>
  <c r="M66" i="15" s="1"/>
  <c r="K65" i="15"/>
  <c r="J65" i="15"/>
  <c r="M65" i="15" s="1"/>
  <c r="K64" i="15"/>
  <c r="J64" i="15"/>
  <c r="M64" i="15" s="1"/>
  <c r="O64" i="15" s="1"/>
  <c r="K63" i="15"/>
  <c r="J63" i="15"/>
  <c r="L63" i="15" s="1"/>
  <c r="K62" i="15"/>
  <c r="J62" i="15"/>
  <c r="M62" i="15" s="1"/>
  <c r="O62" i="15" s="1"/>
  <c r="M61" i="15"/>
  <c r="O61" i="15" s="1"/>
  <c r="L61" i="15"/>
  <c r="N61" i="15" s="1"/>
  <c r="K61" i="15"/>
  <c r="J61" i="15"/>
  <c r="M60" i="15"/>
  <c r="L60" i="15"/>
  <c r="K60" i="15"/>
  <c r="J60" i="15"/>
  <c r="M59" i="15"/>
  <c r="K59" i="15"/>
  <c r="J59" i="15"/>
  <c r="L59" i="15" s="1"/>
  <c r="N59" i="15" s="1"/>
  <c r="K58" i="15"/>
  <c r="J58" i="15"/>
  <c r="M58" i="15" s="1"/>
  <c r="O58" i="15" s="1"/>
  <c r="K57" i="15"/>
  <c r="J57" i="15"/>
  <c r="M57" i="15" s="1"/>
  <c r="K56" i="15"/>
  <c r="J56" i="15"/>
  <c r="M56" i="15" s="1"/>
  <c r="K55" i="15"/>
  <c r="J55" i="15"/>
  <c r="M55" i="15" s="1"/>
  <c r="O55" i="15" s="1"/>
  <c r="K54" i="15"/>
  <c r="J54" i="15"/>
  <c r="M54" i="15" s="1"/>
  <c r="K53" i="15"/>
  <c r="J53" i="15"/>
  <c r="L53" i="15" s="1"/>
  <c r="N53" i="15" s="1"/>
  <c r="K52" i="15"/>
  <c r="J52" i="15"/>
  <c r="M52" i="15" s="1"/>
  <c r="L51" i="15"/>
  <c r="N51" i="15" s="1"/>
  <c r="K51" i="15"/>
  <c r="J51" i="15"/>
  <c r="M51" i="15" s="1"/>
  <c r="O51" i="15" s="1"/>
  <c r="K50" i="15"/>
  <c r="J50" i="15"/>
  <c r="M50" i="15" s="1"/>
  <c r="O50" i="15" s="1"/>
  <c r="K49" i="15"/>
  <c r="J49" i="15"/>
  <c r="M49" i="15" s="1"/>
  <c r="O49" i="15" s="1"/>
  <c r="K48" i="15"/>
  <c r="J48" i="15"/>
  <c r="M48" i="15" s="1"/>
  <c r="K47" i="15"/>
  <c r="J47" i="15"/>
  <c r="M47" i="15" s="1"/>
  <c r="O47" i="15" s="1"/>
  <c r="K45" i="15"/>
  <c r="J45" i="15"/>
  <c r="M45" i="15" s="1"/>
  <c r="O45" i="15" s="1"/>
  <c r="K44" i="15"/>
  <c r="J44" i="15"/>
  <c r="M44" i="15" s="1"/>
  <c r="K43" i="15"/>
  <c r="J43" i="15"/>
  <c r="M43" i="15" s="1"/>
  <c r="O43" i="15" s="1"/>
  <c r="K42" i="15"/>
  <c r="J42" i="15"/>
  <c r="L42" i="15" s="1"/>
  <c r="N42" i="15" s="1"/>
  <c r="K41" i="15"/>
  <c r="J41" i="15"/>
  <c r="M41" i="15" s="1"/>
  <c r="O41" i="15" s="1"/>
  <c r="K40" i="15"/>
  <c r="J40" i="15"/>
  <c r="M40" i="15" s="1"/>
  <c r="O40" i="15" s="1"/>
  <c r="K39" i="15"/>
  <c r="J39" i="15"/>
  <c r="M39" i="15" s="1"/>
  <c r="O39" i="15" s="1"/>
  <c r="M38" i="15"/>
  <c r="L38" i="15"/>
  <c r="K38" i="15"/>
  <c r="J38" i="15"/>
  <c r="K37" i="15"/>
  <c r="J37" i="15"/>
  <c r="M37" i="15" s="1"/>
  <c r="O37" i="15" s="1"/>
  <c r="K36" i="15"/>
  <c r="J36" i="15"/>
  <c r="M36" i="15" s="1"/>
  <c r="O36" i="15" s="1"/>
  <c r="K35" i="15"/>
  <c r="J35" i="15"/>
  <c r="M35" i="15" s="1"/>
  <c r="O35" i="15" s="1"/>
  <c r="K34" i="15"/>
  <c r="J34" i="15"/>
  <c r="M34" i="15" s="1"/>
  <c r="O34" i="15" s="1"/>
  <c r="K33" i="15"/>
  <c r="J33" i="15"/>
  <c r="M33" i="15" s="1"/>
  <c r="O33" i="15" s="1"/>
  <c r="K32" i="15"/>
  <c r="J32" i="15"/>
  <c r="L32" i="15" s="1"/>
  <c r="N32" i="15" s="1"/>
  <c r="K31" i="15"/>
  <c r="J31" i="15"/>
  <c r="M31" i="15" s="1"/>
  <c r="O31" i="15" s="1"/>
  <c r="K30" i="15"/>
  <c r="J30" i="15"/>
  <c r="L30" i="15" s="1"/>
  <c r="N30" i="15" s="1"/>
  <c r="K29" i="15"/>
  <c r="J29" i="15"/>
  <c r="M29" i="15" s="1"/>
  <c r="O29" i="15" s="1"/>
  <c r="K28" i="15"/>
  <c r="J28" i="15"/>
  <c r="L28" i="15" s="1"/>
  <c r="K27" i="15"/>
  <c r="J27" i="15"/>
  <c r="M27" i="15" s="1"/>
  <c r="O27" i="15" s="1"/>
  <c r="K26" i="15"/>
  <c r="J26" i="15"/>
  <c r="M26" i="15" s="1"/>
  <c r="K25" i="15"/>
  <c r="J25" i="15"/>
  <c r="M25" i="15" s="1"/>
  <c r="K23" i="15"/>
  <c r="J23" i="15"/>
  <c r="M23" i="15" s="1"/>
  <c r="K22" i="15"/>
  <c r="J22" i="15"/>
  <c r="M22" i="15" s="1"/>
  <c r="K21" i="15"/>
  <c r="J21" i="15"/>
  <c r="L21" i="15" s="1"/>
  <c r="K20" i="15"/>
  <c r="J20" i="15"/>
  <c r="M20" i="15" s="1"/>
  <c r="O20" i="15" s="1"/>
  <c r="K19" i="15"/>
  <c r="J19" i="15"/>
  <c r="M19" i="15" s="1"/>
  <c r="O19" i="15" s="1"/>
  <c r="K18" i="15"/>
  <c r="J18" i="15"/>
  <c r="M18" i="15" s="1"/>
  <c r="O18" i="15" s="1"/>
  <c r="K17" i="15"/>
  <c r="J17" i="15"/>
  <c r="M17" i="15" s="1"/>
  <c r="O17" i="15" s="1"/>
  <c r="K16" i="15"/>
  <c r="J16" i="15"/>
  <c r="M16" i="15" s="1"/>
  <c r="O16" i="15" s="1"/>
  <c r="K15" i="15"/>
  <c r="J15" i="15"/>
  <c r="M15" i="15" s="1"/>
  <c r="O15" i="15" s="1"/>
  <c r="K14" i="15"/>
  <c r="J14" i="15"/>
  <c r="M14" i="15" s="1"/>
  <c r="O14" i="15" s="1"/>
  <c r="K13" i="15"/>
  <c r="J13" i="15"/>
  <c r="M13" i="15" s="1"/>
  <c r="O13" i="15" s="1"/>
  <c r="K12" i="15"/>
  <c r="J12" i="15"/>
  <c r="M12" i="15" s="1"/>
  <c r="K11" i="15"/>
  <c r="J11" i="15"/>
  <c r="L11" i="15" s="1"/>
  <c r="K10" i="15"/>
  <c r="J10" i="15"/>
  <c r="M10" i="15" s="1"/>
  <c r="O10" i="15" s="1"/>
  <c r="L9" i="15"/>
  <c r="K9" i="15"/>
  <c r="J9" i="15"/>
  <c r="M9" i="15" s="1"/>
  <c r="K8" i="15"/>
  <c r="J8" i="15"/>
  <c r="M8" i="15" s="1"/>
  <c r="K7" i="15"/>
  <c r="J7" i="15"/>
  <c r="M7" i="15" s="1"/>
  <c r="O7" i="15" s="1"/>
  <c r="K6" i="15"/>
  <c r="J6" i="15"/>
  <c r="M6" i="15" s="1"/>
  <c r="O6" i="15" s="1"/>
  <c r="K5" i="15"/>
  <c r="J5" i="15"/>
  <c r="M5" i="15" s="1"/>
  <c r="K4" i="15"/>
  <c r="J4" i="15"/>
  <c r="M4" i="15" s="1"/>
  <c r="K3" i="15"/>
  <c r="J3" i="15"/>
  <c r="M3" i="15" s="1"/>
  <c r="O3" i="15" s="1"/>
  <c r="J3" i="14"/>
  <c r="L3" i="14" s="1"/>
  <c r="N3" i="14" s="1"/>
  <c r="K3" i="14"/>
  <c r="M3" i="14"/>
  <c r="O3" i="14" s="1"/>
  <c r="J4" i="14"/>
  <c r="L4" i="14" s="1"/>
  <c r="K4" i="14"/>
  <c r="N4" i="14" s="1"/>
  <c r="J5" i="14"/>
  <c r="L5" i="14" s="1"/>
  <c r="K5" i="14"/>
  <c r="N5" i="14" s="1"/>
  <c r="J6" i="14"/>
  <c r="K6" i="14"/>
  <c r="L6" i="14"/>
  <c r="M6" i="14"/>
  <c r="O6" i="14" s="1"/>
  <c r="N6" i="14"/>
  <c r="J7" i="14"/>
  <c r="M7" i="14" s="1"/>
  <c r="K7" i="14"/>
  <c r="J8" i="14"/>
  <c r="M8" i="14" s="1"/>
  <c r="K8" i="14"/>
  <c r="L8" i="14"/>
  <c r="J9" i="14"/>
  <c r="L9" i="14" s="1"/>
  <c r="N9" i="14" s="1"/>
  <c r="K9" i="14"/>
  <c r="K89" i="13"/>
  <c r="J89" i="13"/>
  <c r="M89" i="13" s="1"/>
  <c r="K88" i="13"/>
  <c r="J88" i="13"/>
  <c r="M88" i="13" s="1"/>
  <c r="K87" i="13"/>
  <c r="J87" i="13"/>
  <c r="M87" i="13" s="1"/>
  <c r="O87" i="13" s="1"/>
  <c r="K86" i="13"/>
  <c r="J86" i="13"/>
  <c r="M86" i="13" s="1"/>
  <c r="K85" i="13"/>
  <c r="J85" i="13"/>
  <c r="M85" i="13" s="1"/>
  <c r="K84" i="13"/>
  <c r="J84" i="13"/>
  <c r="M84" i="13" s="1"/>
  <c r="O84" i="13" s="1"/>
  <c r="K83" i="13"/>
  <c r="J83" i="13"/>
  <c r="M83" i="13" s="1"/>
  <c r="K82" i="13"/>
  <c r="J82" i="13"/>
  <c r="M82" i="13" s="1"/>
  <c r="O82" i="13" s="1"/>
  <c r="K81" i="13"/>
  <c r="J81" i="13"/>
  <c r="L81" i="13" s="1"/>
  <c r="M80" i="13"/>
  <c r="O80" i="13" s="1"/>
  <c r="K80" i="13"/>
  <c r="J80" i="13"/>
  <c r="L80" i="13" s="1"/>
  <c r="K79" i="13"/>
  <c r="J79" i="13"/>
  <c r="M79" i="13" s="1"/>
  <c r="K78" i="13"/>
  <c r="J78" i="13"/>
  <c r="M78" i="13" s="1"/>
  <c r="O78" i="13" s="1"/>
  <c r="K77" i="13"/>
  <c r="J77" i="13"/>
  <c r="M77" i="13" s="1"/>
  <c r="K76" i="13"/>
  <c r="J76" i="13"/>
  <c r="L76" i="13" s="1"/>
  <c r="K75" i="13"/>
  <c r="J75" i="13"/>
  <c r="M75" i="13" s="1"/>
  <c r="O75" i="13" s="1"/>
  <c r="K74" i="13"/>
  <c r="J74" i="13"/>
  <c r="M74" i="13" s="1"/>
  <c r="K73" i="13"/>
  <c r="J73" i="13"/>
  <c r="M73" i="13" s="1"/>
  <c r="K72" i="13"/>
  <c r="J72" i="13"/>
  <c r="M72" i="13" s="1"/>
  <c r="O72" i="13" s="1"/>
  <c r="K71" i="13"/>
  <c r="J71" i="13"/>
  <c r="L71" i="13" s="1"/>
  <c r="K70" i="13"/>
  <c r="J70" i="13"/>
  <c r="M70" i="13" s="1"/>
  <c r="K69" i="13"/>
  <c r="J69" i="13"/>
  <c r="M69" i="13" s="1"/>
  <c r="O69" i="13" s="1"/>
  <c r="M67" i="13"/>
  <c r="O67" i="13" s="1"/>
  <c r="L67" i="13"/>
  <c r="K67" i="13"/>
  <c r="J67" i="13"/>
  <c r="K66" i="13"/>
  <c r="J66" i="13"/>
  <c r="M66" i="13" s="1"/>
  <c r="K65" i="13"/>
  <c r="J65" i="13"/>
  <c r="L65" i="13" s="1"/>
  <c r="K64" i="13"/>
  <c r="J64" i="13"/>
  <c r="M64" i="13" s="1"/>
  <c r="K63" i="13"/>
  <c r="J63" i="13"/>
  <c r="M63" i="13" s="1"/>
  <c r="O63" i="13" s="1"/>
  <c r="K62" i="13"/>
  <c r="J62" i="13"/>
  <c r="M62" i="13" s="1"/>
  <c r="O62" i="13" s="1"/>
  <c r="K61" i="13"/>
  <c r="J61" i="13"/>
  <c r="M61" i="13" s="1"/>
  <c r="O61" i="13" s="1"/>
  <c r="K60" i="13"/>
  <c r="J60" i="13"/>
  <c r="L60" i="13" s="1"/>
  <c r="K59" i="13"/>
  <c r="J59" i="13"/>
  <c r="M59" i="13" s="1"/>
  <c r="O59" i="13" s="1"/>
  <c r="K58" i="13"/>
  <c r="J58" i="13"/>
  <c r="M58" i="13" s="1"/>
  <c r="K57" i="13"/>
  <c r="J57" i="13"/>
  <c r="M57" i="13" s="1"/>
  <c r="L56" i="13"/>
  <c r="K56" i="13"/>
  <c r="N56" i="13" s="1"/>
  <c r="J56" i="13"/>
  <c r="M56" i="13" s="1"/>
  <c r="K55" i="13"/>
  <c r="J55" i="13"/>
  <c r="L55" i="13" s="1"/>
  <c r="K54" i="13"/>
  <c r="J54" i="13"/>
  <c r="M54" i="13" s="1"/>
  <c r="K53" i="13"/>
  <c r="J53" i="13"/>
  <c r="M53" i="13" s="1"/>
  <c r="O53" i="13" s="1"/>
  <c r="K52" i="13"/>
  <c r="J52" i="13"/>
  <c r="M52" i="13" s="1"/>
  <c r="K51" i="13"/>
  <c r="J51" i="13"/>
  <c r="M51" i="13" s="1"/>
  <c r="O51" i="13" s="1"/>
  <c r="K50" i="13"/>
  <c r="J50" i="13"/>
  <c r="L50" i="13" s="1"/>
  <c r="K49" i="13"/>
  <c r="J49" i="13"/>
  <c r="M49" i="13" s="1"/>
  <c r="O49" i="13" s="1"/>
  <c r="K48" i="13"/>
  <c r="J48" i="13"/>
  <c r="M48" i="13" s="1"/>
  <c r="O48" i="13" s="1"/>
  <c r="K47" i="13"/>
  <c r="J47" i="13"/>
  <c r="M47" i="13" s="1"/>
  <c r="K45" i="13"/>
  <c r="J45" i="13"/>
  <c r="M45" i="13" s="1"/>
  <c r="K44" i="13"/>
  <c r="J44" i="13"/>
  <c r="L44" i="13" s="1"/>
  <c r="K43" i="13"/>
  <c r="J43" i="13"/>
  <c r="M43" i="13" s="1"/>
  <c r="O43" i="13" s="1"/>
  <c r="K42" i="13"/>
  <c r="J42" i="13"/>
  <c r="M42" i="13" s="1"/>
  <c r="K41" i="13"/>
  <c r="J41" i="13"/>
  <c r="M41" i="13" s="1"/>
  <c r="K40" i="13"/>
  <c r="J40" i="13"/>
  <c r="M40" i="13" s="1"/>
  <c r="O40" i="13" s="1"/>
  <c r="K39" i="13"/>
  <c r="J39" i="13"/>
  <c r="L39" i="13" s="1"/>
  <c r="M38" i="13"/>
  <c r="L38" i="13"/>
  <c r="K38" i="13"/>
  <c r="J38" i="13"/>
  <c r="K37" i="13"/>
  <c r="J37" i="13"/>
  <c r="M37" i="13" s="1"/>
  <c r="O37" i="13" s="1"/>
  <c r="K36" i="13"/>
  <c r="J36" i="13"/>
  <c r="M36" i="13" s="1"/>
  <c r="O36" i="13" s="1"/>
  <c r="K35" i="13"/>
  <c r="J35" i="13"/>
  <c r="M35" i="13" s="1"/>
  <c r="K34" i="13"/>
  <c r="J34" i="13"/>
  <c r="L34" i="13" s="1"/>
  <c r="K33" i="13"/>
  <c r="J33" i="13"/>
  <c r="M33" i="13" s="1"/>
  <c r="O33" i="13" s="1"/>
  <c r="K32" i="13"/>
  <c r="J32" i="13"/>
  <c r="M32" i="13" s="1"/>
  <c r="K31" i="13"/>
  <c r="J31" i="13"/>
  <c r="M31" i="13" s="1"/>
  <c r="K30" i="13"/>
  <c r="J30" i="13"/>
  <c r="M30" i="13" s="1"/>
  <c r="O30" i="13" s="1"/>
  <c r="K29" i="13"/>
  <c r="J29" i="13"/>
  <c r="L29" i="13" s="1"/>
  <c r="K28" i="13"/>
  <c r="J28" i="13"/>
  <c r="M28" i="13" s="1"/>
  <c r="O28" i="13" s="1"/>
  <c r="K27" i="13"/>
  <c r="J27" i="13"/>
  <c r="M27" i="13" s="1"/>
  <c r="O27" i="13" s="1"/>
  <c r="K26" i="13"/>
  <c r="J26" i="13"/>
  <c r="L26" i="13" s="1"/>
  <c r="L25" i="13"/>
  <c r="K25" i="13"/>
  <c r="J25" i="13"/>
  <c r="M25" i="13" s="1"/>
  <c r="K23" i="13"/>
  <c r="J23" i="13"/>
  <c r="L23" i="13" s="1"/>
  <c r="K22" i="13"/>
  <c r="J22" i="13"/>
  <c r="M22" i="13" s="1"/>
  <c r="O22" i="13" s="1"/>
  <c r="K21" i="13"/>
  <c r="J21" i="13"/>
  <c r="M21" i="13" s="1"/>
  <c r="O21" i="13" s="1"/>
  <c r="K20" i="13"/>
  <c r="J20" i="13"/>
  <c r="M20" i="13" s="1"/>
  <c r="K19" i="13"/>
  <c r="J19" i="13"/>
  <c r="M19" i="13" s="1"/>
  <c r="O19" i="13" s="1"/>
  <c r="M18" i="13"/>
  <c r="O18" i="13" s="1"/>
  <c r="K18" i="13"/>
  <c r="J18" i="13"/>
  <c r="L18" i="13" s="1"/>
  <c r="K17" i="13"/>
  <c r="J17" i="13"/>
  <c r="M17" i="13" s="1"/>
  <c r="O17" i="13" s="1"/>
  <c r="K16" i="13"/>
  <c r="J16" i="13"/>
  <c r="M16" i="13" s="1"/>
  <c r="O16" i="13" s="1"/>
  <c r="K15" i="13"/>
  <c r="J15" i="13"/>
  <c r="M15" i="13" s="1"/>
  <c r="O15" i="13" s="1"/>
  <c r="L14" i="13"/>
  <c r="K14" i="13"/>
  <c r="J14" i="13"/>
  <c r="M14" i="13" s="1"/>
  <c r="K13" i="13"/>
  <c r="J13" i="13"/>
  <c r="L13" i="13" s="1"/>
  <c r="K12" i="13"/>
  <c r="J12" i="13"/>
  <c r="M12" i="13" s="1"/>
  <c r="K11" i="13"/>
  <c r="J11" i="13"/>
  <c r="M11" i="13" s="1"/>
  <c r="O11" i="13" s="1"/>
  <c r="K10" i="13"/>
  <c r="J10" i="13"/>
  <c r="M10" i="13" s="1"/>
  <c r="O10" i="13" s="1"/>
  <c r="K9" i="13"/>
  <c r="J9" i="13"/>
  <c r="M9" i="13" s="1"/>
  <c r="O9" i="13" s="1"/>
  <c r="K8" i="13"/>
  <c r="J8" i="13"/>
  <c r="L8" i="13" s="1"/>
  <c r="N7" i="13"/>
  <c r="M7" i="13"/>
  <c r="O7" i="13" s="1"/>
  <c r="L7" i="13"/>
  <c r="K7" i="13"/>
  <c r="J7" i="13"/>
  <c r="K6" i="13"/>
  <c r="J6" i="13"/>
  <c r="M6" i="13" s="1"/>
  <c r="O6" i="13" s="1"/>
  <c r="M5" i="13"/>
  <c r="O5" i="13" s="1"/>
  <c r="K5" i="13"/>
  <c r="J5" i="13"/>
  <c r="L5" i="13" s="1"/>
  <c r="K4" i="13"/>
  <c r="J4" i="13"/>
  <c r="M4" i="13" s="1"/>
  <c r="O4" i="13" s="1"/>
  <c r="K3" i="13"/>
  <c r="J3" i="13"/>
  <c r="L3" i="13" s="1"/>
  <c r="K69" i="12"/>
  <c r="J69" i="12"/>
  <c r="L69" i="12" s="1"/>
  <c r="K68" i="12"/>
  <c r="N68" i="12" s="1"/>
  <c r="J68" i="12"/>
  <c r="L68" i="12" s="1"/>
  <c r="K67" i="12"/>
  <c r="J67" i="12"/>
  <c r="M67" i="12" s="1"/>
  <c r="O67" i="12" s="1"/>
  <c r="K66" i="12"/>
  <c r="J66" i="12"/>
  <c r="M66" i="12" s="1"/>
  <c r="K65" i="12"/>
  <c r="J65" i="12"/>
  <c r="M65" i="12" s="1"/>
  <c r="O65" i="12" s="1"/>
  <c r="K64" i="12"/>
  <c r="J64" i="12"/>
  <c r="M64" i="12" s="1"/>
  <c r="K63" i="12"/>
  <c r="J63" i="12"/>
  <c r="M63" i="12" s="1"/>
  <c r="O63" i="12" s="1"/>
  <c r="K62" i="12"/>
  <c r="J62" i="12"/>
  <c r="M62" i="12" s="1"/>
  <c r="K61" i="12"/>
  <c r="J61" i="12"/>
  <c r="M61" i="12" s="1"/>
  <c r="K60" i="12"/>
  <c r="J60" i="12"/>
  <c r="M60" i="12" s="1"/>
  <c r="O60" i="12" s="1"/>
  <c r="K59" i="12"/>
  <c r="J59" i="12"/>
  <c r="L59" i="12" s="1"/>
  <c r="N59" i="12" s="1"/>
  <c r="K58" i="12"/>
  <c r="J58" i="12"/>
  <c r="L58" i="12" s="1"/>
  <c r="K57" i="12"/>
  <c r="J57" i="12"/>
  <c r="L57" i="12" s="1"/>
  <c r="K56" i="12"/>
  <c r="J56" i="12"/>
  <c r="M56" i="12" s="1"/>
  <c r="O56" i="12" s="1"/>
  <c r="K55" i="12"/>
  <c r="J55" i="12"/>
  <c r="M55" i="12" s="1"/>
  <c r="K54" i="12"/>
  <c r="J54" i="12"/>
  <c r="M54" i="12" s="1"/>
  <c r="O54" i="12" s="1"/>
  <c r="K52" i="12"/>
  <c r="J52" i="12"/>
  <c r="M52" i="12" s="1"/>
  <c r="K51" i="12"/>
  <c r="J51" i="12"/>
  <c r="M51" i="12" s="1"/>
  <c r="O51" i="12" s="1"/>
  <c r="K50" i="12"/>
  <c r="J50" i="12"/>
  <c r="L50" i="12" s="1"/>
  <c r="K49" i="12"/>
  <c r="J49" i="12"/>
  <c r="M49" i="12" s="1"/>
  <c r="O49" i="12" s="1"/>
  <c r="K48" i="12"/>
  <c r="J48" i="12"/>
  <c r="L48" i="12" s="1"/>
  <c r="N48" i="12" s="1"/>
  <c r="K47" i="12"/>
  <c r="J47" i="12"/>
  <c r="L47" i="12" s="1"/>
  <c r="M46" i="12"/>
  <c r="O46" i="12" s="1"/>
  <c r="K46" i="12"/>
  <c r="J46" i="12"/>
  <c r="L46" i="12" s="1"/>
  <c r="N46" i="12" s="1"/>
  <c r="K45" i="12"/>
  <c r="J45" i="12"/>
  <c r="L45" i="12" s="1"/>
  <c r="K44" i="12"/>
  <c r="J44" i="12"/>
  <c r="M44" i="12" s="1"/>
  <c r="O44" i="12" s="1"/>
  <c r="K43" i="12"/>
  <c r="J43" i="12"/>
  <c r="M43" i="12" s="1"/>
  <c r="K42" i="12"/>
  <c r="J42" i="12"/>
  <c r="M42" i="12" s="1"/>
  <c r="O42" i="12" s="1"/>
  <c r="K41" i="12"/>
  <c r="J41" i="12"/>
  <c r="M41" i="12" s="1"/>
  <c r="O41" i="12" s="1"/>
  <c r="K40" i="12"/>
  <c r="J40" i="12"/>
  <c r="L40" i="12" s="1"/>
  <c r="K39" i="12"/>
  <c r="J39" i="12"/>
  <c r="M39" i="12" s="1"/>
  <c r="K38" i="12"/>
  <c r="J38" i="12"/>
  <c r="L38" i="12" s="1"/>
  <c r="N38" i="12" s="1"/>
  <c r="K37" i="12"/>
  <c r="J37" i="12"/>
  <c r="M37" i="12" s="1"/>
  <c r="K35" i="12"/>
  <c r="J35" i="12"/>
  <c r="L35" i="12" s="1"/>
  <c r="N35" i="12" s="1"/>
  <c r="L34" i="12"/>
  <c r="K34" i="12"/>
  <c r="N34" i="12" s="1"/>
  <c r="J34" i="12"/>
  <c r="M34" i="12" s="1"/>
  <c r="K33" i="12"/>
  <c r="J33" i="12"/>
  <c r="M33" i="12" s="1"/>
  <c r="O33" i="12" s="1"/>
  <c r="K32" i="12"/>
  <c r="J32" i="12"/>
  <c r="M32" i="12" s="1"/>
  <c r="K31" i="12"/>
  <c r="J31" i="12"/>
  <c r="M31" i="12" s="1"/>
  <c r="K30" i="12"/>
  <c r="J30" i="12"/>
  <c r="M30" i="12" s="1"/>
  <c r="O30" i="12" s="1"/>
  <c r="K29" i="12"/>
  <c r="J29" i="12"/>
  <c r="L29" i="12" s="1"/>
  <c r="K28" i="12"/>
  <c r="J28" i="12"/>
  <c r="M28" i="12" s="1"/>
  <c r="O28" i="12" s="1"/>
  <c r="K27" i="12"/>
  <c r="J27" i="12"/>
  <c r="L27" i="12" s="1"/>
  <c r="K26" i="12"/>
  <c r="J26" i="12"/>
  <c r="M26" i="12" s="1"/>
  <c r="M25" i="12"/>
  <c r="K25" i="12"/>
  <c r="J25" i="12"/>
  <c r="L25" i="12" s="1"/>
  <c r="K24" i="12"/>
  <c r="J24" i="12"/>
  <c r="M24" i="12" s="1"/>
  <c r="O24" i="12" s="1"/>
  <c r="M23" i="12"/>
  <c r="L23" i="12"/>
  <c r="K23" i="12"/>
  <c r="J23" i="12"/>
  <c r="K22" i="12"/>
  <c r="J22" i="12"/>
  <c r="M22" i="12" s="1"/>
  <c r="O22" i="12" s="1"/>
  <c r="K21" i="12"/>
  <c r="J21" i="12"/>
  <c r="M21" i="12" s="1"/>
  <c r="K20" i="12"/>
  <c r="J20" i="12"/>
  <c r="M20" i="12" s="1"/>
  <c r="O20" i="12" s="1"/>
  <c r="K18" i="12"/>
  <c r="J18" i="12"/>
  <c r="L18" i="12" s="1"/>
  <c r="K17" i="12"/>
  <c r="J17" i="12"/>
  <c r="M17" i="12" s="1"/>
  <c r="O17" i="12" s="1"/>
  <c r="M16" i="12"/>
  <c r="K16" i="12"/>
  <c r="J16" i="12"/>
  <c r="L16" i="12" s="1"/>
  <c r="K15" i="12"/>
  <c r="J15" i="12"/>
  <c r="M15" i="12" s="1"/>
  <c r="K14" i="12"/>
  <c r="J14" i="12"/>
  <c r="M14" i="12" s="1"/>
  <c r="K13" i="12"/>
  <c r="J13" i="12"/>
  <c r="L13" i="12" s="1"/>
  <c r="K12" i="12"/>
  <c r="J12" i="12"/>
  <c r="M12" i="12" s="1"/>
  <c r="K11" i="12"/>
  <c r="J11" i="12"/>
  <c r="M11" i="12" s="1"/>
  <c r="K10" i="12"/>
  <c r="J10" i="12"/>
  <c r="M10" i="12" s="1"/>
  <c r="O10" i="12" s="1"/>
  <c r="K9" i="12"/>
  <c r="J9" i="12"/>
  <c r="M9" i="12" s="1"/>
  <c r="O9" i="12" s="1"/>
  <c r="K8" i="12"/>
  <c r="J8" i="12"/>
  <c r="M8" i="12" s="1"/>
  <c r="K7" i="12"/>
  <c r="J7" i="12"/>
  <c r="M7" i="12" s="1"/>
  <c r="K6" i="12"/>
  <c r="J6" i="12"/>
  <c r="L6" i="12" s="1"/>
  <c r="N6" i="12" s="1"/>
  <c r="K5" i="12"/>
  <c r="J5" i="12"/>
  <c r="M5" i="12" s="1"/>
  <c r="K4" i="12"/>
  <c r="J4" i="12"/>
  <c r="L4" i="12" s="1"/>
  <c r="K3" i="12"/>
  <c r="J3" i="12"/>
  <c r="L3" i="12" s="1"/>
  <c r="K89" i="11"/>
  <c r="J89" i="11"/>
  <c r="M89" i="11" s="1"/>
  <c r="O89" i="11" s="1"/>
  <c r="K88" i="11"/>
  <c r="J88" i="11"/>
  <c r="M88" i="11" s="1"/>
  <c r="K87" i="11"/>
  <c r="J87" i="11"/>
  <c r="M87" i="11" s="1"/>
  <c r="O87" i="11" s="1"/>
  <c r="K86" i="11"/>
  <c r="J86" i="11"/>
  <c r="M86" i="11" s="1"/>
  <c r="O86" i="11" s="1"/>
  <c r="K85" i="11"/>
  <c r="J85" i="11"/>
  <c r="M85" i="11" s="1"/>
  <c r="O85" i="11" s="1"/>
  <c r="K84" i="11"/>
  <c r="J84" i="11"/>
  <c r="M84" i="11" s="1"/>
  <c r="O84" i="11" s="1"/>
  <c r="K83" i="11"/>
  <c r="J83" i="11"/>
  <c r="L83" i="11" s="1"/>
  <c r="K82" i="11"/>
  <c r="J82" i="11"/>
  <c r="M82" i="11" s="1"/>
  <c r="O82" i="11" s="1"/>
  <c r="K81" i="11"/>
  <c r="J81" i="11"/>
  <c r="L81" i="11" s="1"/>
  <c r="N81" i="11" s="1"/>
  <c r="K80" i="11"/>
  <c r="J80" i="11"/>
  <c r="M80" i="11" s="1"/>
  <c r="O80" i="11" s="1"/>
  <c r="K79" i="11"/>
  <c r="J79" i="11"/>
  <c r="L79" i="11" s="1"/>
  <c r="K78" i="11"/>
  <c r="J78" i="11"/>
  <c r="M78" i="11" s="1"/>
  <c r="K77" i="11"/>
  <c r="J77" i="11"/>
  <c r="M77" i="11" s="1"/>
  <c r="O77" i="11" s="1"/>
  <c r="K76" i="11"/>
  <c r="J76" i="11"/>
  <c r="M76" i="11" s="1"/>
  <c r="O76" i="11" s="1"/>
  <c r="K75" i="11"/>
  <c r="J75" i="11"/>
  <c r="M75" i="11" s="1"/>
  <c r="O75" i="11" s="1"/>
  <c r="K74" i="11"/>
  <c r="J74" i="11"/>
  <c r="M74" i="11" s="1"/>
  <c r="O74" i="11" s="1"/>
  <c r="M73" i="11"/>
  <c r="O73" i="11" s="1"/>
  <c r="K73" i="11"/>
  <c r="J73" i="11"/>
  <c r="L73" i="11" s="1"/>
  <c r="K72" i="11"/>
  <c r="J72" i="11"/>
  <c r="M72" i="11" s="1"/>
  <c r="K71" i="11"/>
  <c r="J71" i="11"/>
  <c r="M71" i="11" s="1"/>
  <c r="O71" i="11" s="1"/>
  <c r="K70" i="11"/>
  <c r="J70" i="11"/>
  <c r="M70" i="11" s="1"/>
  <c r="O70" i="11" s="1"/>
  <c r="K69" i="11"/>
  <c r="J69" i="11"/>
  <c r="L69" i="11" s="1"/>
  <c r="K67" i="11"/>
  <c r="J67" i="11"/>
  <c r="M67" i="11" s="1"/>
  <c r="O67" i="11" s="1"/>
  <c r="K66" i="11"/>
  <c r="J66" i="11"/>
  <c r="M66" i="11" s="1"/>
  <c r="O66" i="11" s="1"/>
  <c r="K65" i="11"/>
  <c r="J65" i="11"/>
  <c r="M65" i="11" s="1"/>
  <c r="K64" i="11"/>
  <c r="J64" i="11"/>
  <c r="M64" i="11" s="1"/>
  <c r="O64" i="11" s="1"/>
  <c r="K63" i="11"/>
  <c r="J63" i="11"/>
  <c r="M63" i="11" s="1"/>
  <c r="O63" i="11" s="1"/>
  <c r="K62" i="11"/>
  <c r="J62" i="11"/>
  <c r="L62" i="11" s="1"/>
  <c r="N62" i="11" s="1"/>
  <c r="K61" i="11"/>
  <c r="J61" i="11"/>
  <c r="M61" i="11" s="1"/>
  <c r="O61" i="11" s="1"/>
  <c r="K60" i="11"/>
  <c r="J60" i="11"/>
  <c r="M60" i="11" s="1"/>
  <c r="M59" i="11"/>
  <c r="L59" i="11"/>
  <c r="K59" i="11"/>
  <c r="N59" i="11" s="1"/>
  <c r="J59" i="11"/>
  <c r="K58" i="11"/>
  <c r="J58" i="11"/>
  <c r="M58" i="11" s="1"/>
  <c r="O58" i="11" s="1"/>
  <c r="K57" i="11"/>
  <c r="J57" i="11"/>
  <c r="M57" i="11" s="1"/>
  <c r="K56" i="11"/>
  <c r="J56" i="11"/>
  <c r="M56" i="11" s="1"/>
  <c r="K55" i="11"/>
  <c r="J55" i="11"/>
  <c r="M55" i="11" s="1"/>
  <c r="K54" i="11"/>
  <c r="J54" i="11"/>
  <c r="M54" i="11" s="1"/>
  <c r="O54" i="11" s="1"/>
  <c r="K53" i="11"/>
  <c r="J53" i="11"/>
  <c r="M53" i="11" s="1"/>
  <c r="O53" i="11" s="1"/>
  <c r="M52" i="11"/>
  <c r="K52" i="11"/>
  <c r="J52" i="11"/>
  <c r="L52" i="11" s="1"/>
  <c r="K51" i="11"/>
  <c r="J51" i="11"/>
  <c r="M51" i="11" s="1"/>
  <c r="O51" i="11" s="1"/>
  <c r="M50" i="11"/>
  <c r="O50" i="11" s="1"/>
  <c r="K50" i="11"/>
  <c r="J50" i="11"/>
  <c r="L50" i="11" s="1"/>
  <c r="N50" i="11" s="1"/>
  <c r="K49" i="11"/>
  <c r="J49" i="11"/>
  <c r="M49" i="11" s="1"/>
  <c r="O49" i="11" s="1"/>
  <c r="K48" i="11"/>
  <c r="J48" i="11"/>
  <c r="M48" i="11" s="1"/>
  <c r="K47" i="11"/>
  <c r="J47" i="11"/>
  <c r="M47" i="11" s="1"/>
  <c r="O47" i="11" s="1"/>
  <c r="K45" i="11"/>
  <c r="J45" i="11"/>
  <c r="M45" i="11" s="1"/>
  <c r="K44" i="11"/>
  <c r="J44" i="11"/>
  <c r="M44" i="11" s="1"/>
  <c r="K43" i="11"/>
  <c r="J43" i="11"/>
  <c r="M43" i="11" s="1"/>
  <c r="O43" i="11" s="1"/>
  <c r="K42" i="11"/>
  <c r="J42" i="11"/>
  <c r="M42" i="11" s="1"/>
  <c r="K41" i="11"/>
  <c r="J41" i="11"/>
  <c r="L41" i="11" s="1"/>
  <c r="K40" i="11"/>
  <c r="J40" i="11"/>
  <c r="M40" i="11" s="1"/>
  <c r="O40" i="11" s="1"/>
  <c r="M39" i="11"/>
  <c r="L39" i="11"/>
  <c r="K39" i="11"/>
  <c r="J39" i="11"/>
  <c r="K38" i="11"/>
  <c r="J38" i="11"/>
  <c r="M38" i="11" s="1"/>
  <c r="O38" i="11" s="1"/>
  <c r="K37" i="11"/>
  <c r="J37" i="11"/>
  <c r="M37" i="11" s="1"/>
  <c r="O37" i="11" s="1"/>
  <c r="L36" i="11"/>
  <c r="N36" i="11" s="1"/>
  <c r="K36" i="11"/>
  <c r="J36" i="11"/>
  <c r="M36" i="11" s="1"/>
  <c r="K35" i="11"/>
  <c r="J35" i="11"/>
  <c r="M35" i="11" s="1"/>
  <c r="K34" i="11"/>
  <c r="J34" i="11"/>
  <c r="M34" i="11" s="1"/>
  <c r="O34" i="11" s="1"/>
  <c r="K33" i="11"/>
  <c r="J33" i="11"/>
  <c r="M33" i="11" s="1"/>
  <c r="K32" i="11"/>
  <c r="J32" i="11"/>
  <c r="M32" i="11" s="1"/>
  <c r="O32" i="11" s="1"/>
  <c r="M31" i="11"/>
  <c r="O31" i="11" s="1"/>
  <c r="K31" i="11"/>
  <c r="J31" i="11"/>
  <c r="L31" i="11" s="1"/>
  <c r="K30" i="11"/>
  <c r="J30" i="11"/>
  <c r="M30" i="11" s="1"/>
  <c r="L29" i="11"/>
  <c r="K29" i="11"/>
  <c r="N29" i="11" s="1"/>
  <c r="J29" i="11"/>
  <c r="M29" i="11" s="1"/>
  <c r="L28" i="11"/>
  <c r="K28" i="11"/>
  <c r="J28" i="11"/>
  <c r="M28" i="11" s="1"/>
  <c r="K27" i="11"/>
  <c r="J27" i="11"/>
  <c r="L27" i="11" s="1"/>
  <c r="L26" i="11"/>
  <c r="N26" i="11" s="1"/>
  <c r="K26" i="11"/>
  <c r="J26" i="11"/>
  <c r="M26" i="11" s="1"/>
  <c r="O26" i="11" s="1"/>
  <c r="K25" i="11"/>
  <c r="J25" i="11"/>
  <c r="M25" i="11" s="1"/>
  <c r="K23" i="11"/>
  <c r="J23" i="11"/>
  <c r="M23" i="11" s="1"/>
  <c r="K22" i="11"/>
  <c r="J22" i="11"/>
  <c r="M22" i="11" s="1"/>
  <c r="O22" i="11" s="1"/>
  <c r="K21" i="11"/>
  <c r="J21" i="11"/>
  <c r="M21" i="11" s="1"/>
  <c r="O21" i="11" s="1"/>
  <c r="K20" i="11"/>
  <c r="J20" i="11"/>
  <c r="L20" i="11" s="1"/>
  <c r="K19" i="11"/>
  <c r="J19" i="11"/>
  <c r="M19" i="11" s="1"/>
  <c r="O19" i="11" s="1"/>
  <c r="K18" i="11"/>
  <c r="J18" i="11"/>
  <c r="M18" i="11" s="1"/>
  <c r="O18" i="11" s="1"/>
  <c r="K17" i="11"/>
  <c r="J17" i="11"/>
  <c r="M17" i="11" s="1"/>
  <c r="O17" i="11" s="1"/>
  <c r="K16" i="11"/>
  <c r="J16" i="11"/>
  <c r="M16" i="11" s="1"/>
  <c r="O16" i="11" s="1"/>
  <c r="K15" i="11"/>
  <c r="J15" i="11"/>
  <c r="M15" i="11" s="1"/>
  <c r="O15" i="11" s="1"/>
  <c r="K14" i="11"/>
  <c r="J14" i="11"/>
  <c r="M14" i="11" s="1"/>
  <c r="K13" i="11"/>
  <c r="J13" i="11"/>
  <c r="M13" i="11" s="1"/>
  <c r="O13" i="11" s="1"/>
  <c r="K12" i="11"/>
  <c r="J12" i="11"/>
  <c r="M12" i="11" s="1"/>
  <c r="K11" i="11"/>
  <c r="J11" i="11"/>
  <c r="M11" i="11" s="1"/>
  <c r="K10" i="11"/>
  <c r="J10" i="11"/>
  <c r="L10" i="11" s="1"/>
  <c r="K9" i="11"/>
  <c r="J9" i="11"/>
  <c r="M9" i="11" s="1"/>
  <c r="O9" i="11" s="1"/>
  <c r="K8" i="11"/>
  <c r="J8" i="11"/>
  <c r="L8" i="11" s="1"/>
  <c r="L7" i="11"/>
  <c r="K7" i="11"/>
  <c r="J7" i="11"/>
  <c r="M7" i="11" s="1"/>
  <c r="K6" i="11"/>
  <c r="J6" i="11"/>
  <c r="M6" i="11" s="1"/>
  <c r="O6" i="11" s="1"/>
  <c r="K5" i="11"/>
  <c r="J5" i="11"/>
  <c r="M5" i="11" s="1"/>
  <c r="O5" i="11" s="1"/>
  <c r="K4" i="11"/>
  <c r="J4" i="11"/>
  <c r="M4" i="11" s="1"/>
  <c r="K3" i="11"/>
  <c r="J3" i="11"/>
  <c r="M3" i="11" s="1"/>
  <c r="K69" i="10"/>
  <c r="J69" i="10"/>
  <c r="M69" i="10" s="1"/>
  <c r="O69" i="10" s="1"/>
  <c r="K68" i="10"/>
  <c r="J68" i="10"/>
  <c r="L68" i="10" s="1"/>
  <c r="N68" i="10" s="1"/>
  <c r="K67" i="10"/>
  <c r="J67" i="10"/>
  <c r="L67" i="10" s="1"/>
  <c r="K66" i="10"/>
  <c r="J66" i="10"/>
  <c r="L66" i="10" s="1"/>
  <c r="N66" i="10" s="1"/>
  <c r="K65" i="10"/>
  <c r="J65" i="10"/>
  <c r="M65" i="10" s="1"/>
  <c r="K64" i="10"/>
  <c r="J64" i="10"/>
  <c r="M64" i="10" s="1"/>
  <c r="O64" i="10" s="1"/>
  <c r="K63" i="10"/>
  <c r="J63" i="10"/>
  <c r="L63" i="10" s="1"/>
  <c r="N63" i="10" s="1"/>
  <c r="K62" i="10"/>
  <c r="J62" i="10"/>
  <c r="M62" i="10" s="1"/>
  <c r="O62" i="10" s="1"/>
  <c r="K61" i="10"/>
  <c r="J61" i="10"/>
  <c r="M61" i="10" s="1"/>
  <c r="O61" i="10" s="1"/>
  <c r="K60" i="10"/>
  <c r="J60" i="10"/>
  <c r="L60" i="10" s="1"/>
  <c r="N60" i="10" s="1"/>
  <c r="K59" i="10"/>
  <c r="J59" i="10"/>
  <c r="M59" i="10" s="1"/>
  <c r="O59" i="10" s="1"/>
  <c r="K58" i="10"/>
  <c r="J58" i="10"/>
  <c r="L58" i="10" s="1"/>
  <c r="N58" i="10" s="1"/>
  <c r="K57" i="10"/>
  <c r="J57" i="10"/>
  <c r="M57" i="10" s="1"/>
  <c r="M56" i="10"/>
  <c r="K56" i="10"/>
  <c r="J56" i="10"/>
  <c r="L56" i="10" s="1"/>
  <c r="K55" i="10"/>
  <c r="J55" i="10"/>
  <c r="L55" i="10" s="1"/>
  <c r="K54" i="10"/>
  <c r="J54" i="10"/>
  <c r="M54" i="10" s="1"/>
  <c r="O54" i="10" s="1"/>
  <c r="K52" i="10"/>
  <c r="J52" i="10"/>
  <c r="M52" i="10" s="1"/>
  <c r="O52" i="10" s="1"/>
  <c r="K51" i="10"/>
  <c r="J51" i="10"/>
  <c r="M51" i="10" s="1"/>
  <c r="K50" i="10"/>
  <c r="J50" i="10"/>
  <c r="M50" i="10" s="1"/>
  <c r="O50" i="10" s="1"/>
  <c r="K49" i="10"/>
  <c r="J49" i="10"/>
  <c r="L49" i="10" s="1"/>
  <c r="K48" i="10"/>
  <c r="J48" i="10"/>
  <c r="M48" i="10" s="1"/>
  <c r="O48" i="10" s="1"/>
  <c r="K47" i="10"/>
  <c r="J47" i="10"/>
  <c r="M47" i="10" s="1"/>
  <c r="O47" i="10" s="1"/>
  <c r="K46" i="10"/>
  <c r="J46" i="10"/>
  <c r="L46" i="10" s="1"/>
  <c r="K45" i="10"/>
  <c r="J45" i="10"/>
  <c r="L45" i="10" s="1"/>
  <c r="K44" i="10"/>
  <c r="J44" i="10"/>
  <c r="M44" i="10" s="1"/>
  <c r="O44" i="10" s="1"/>
  <c r="K43" i="10"/>
  <c r="J43" i="10"/>
  <c r="M43" i="10" s="1"/>
  <c r="M42" i="10"/>
  <c r="O42" i="10" s="1"/>
  <c r="L42" i="10"/>
  <c r="K42" i="10"/>
  <c r="J42" i="10"/>
  <c r="K41" i="10"/>
  <c r="J41" i="10"/>
  <c r="M41" i="10" s="1"/>
  <c r="K40" i="10"/>
  <c r="J40" i="10"/>
  <c r="M40" i="10" s="1"/>
  <c r="O40" i="10" s="1"/>
  <c r="M39" i="10"/>
  <c r="O39" i="10" s="1"/>
  <c r="K39" i="10"/>
  <c r="J39" i="10"/>
  <c r="L39" i="10" s="1"/>
  <c r="N39" i="10" s="1"/>
  <c r="K38" i="10"/>
  <c r="J38" i="10"/>
  <c r="M38" i="10" s="1"/>
  <c r="K37" i="10"/>
  <c r="J37" i="10"/>
  <c r="M37" i="10" s="1"/>
  <c r="O37" i="10" s="1"/>
  <c r="K35" i="10"/>
  <c r="J35" i="10"/>
  <c r="M35" i="10" s="1"/>
  <c r="O35" i="10" s="1"/>
  <c r="K34" i="10"/>
  <c r="J34" i="10"/>
  <c r="L34" i="10" s="1"/>
  <c r="K33" i="10"/>
  <c r="J33" i="10"/>
  <c r="M33" i="10" s="1"/>
  <c r="O33" i="10" s="1"/>
  <c r="K32" i="10"/>
  <c r="J32" i="10"/>
  <c r="M32" i="10" s="1"/>
  <c r="K31" i="10"/>
  <c r="J31" i="10"/>
  <c r="M31" i="10" s="1"/>
  <c r="O31" i="10" s="1"/>
  <c r="K30" i="10"/>
  <c r="J30" i="10"/>
  <c r="M30" i="10" s="1"/>
  <c r="K29" i="10"/>
  <c r="J29" i="10"/>
  <c r="M29" i="10" s="1"/>
  <c r="O29" i="10" s="1"/>
  <c r="K28" i="10"/>
  <c r="J28" i="10"/>
  <c r="L28" i="10" s="1"/>
  <c r="K27" i="10"/>
  <c r="J27" i="10"/>
  <c r="M27" i="10" s="1"/>
  <c r="O27" i="10" s="1"/>
  <c r="L26" i="10"/>
  <c r="K26" i="10"/>
  <c r="J26" i="10"/>
  <c r="M26" i="10" s="1"/>
  <c r="M25" i="10"/>
  <c r="K25" i="10"/>
  <c r="J25" i="10"/>
  <c r="L25" i="10" s="1"/>
  <c r="K24" i="10"/>
  <c r="J24" i="10"/>
  <c r="L24" i="10" s="1"/>
  <c r="N24" i="10" s="1"/>
  <c r="K23" i="10"/>
  <c r="J23" i="10"/>
  <c r="M23" i="10" s="1"/>
  <c r="K22" i="10"/>
  <c r="J22" i="10"/>
  <c r="M22" i="10" s="1"/>
  <c r="K21" i="10"/>
  <c r="J21" i="10"/>
  <c r="L21" i="10" s="1"/>
  <c r="N21" i="10" s="1"/>
  <c r="K20" i="10"/>
  <c r="J20" i="10"/>
  <c r="M20" i="10" s="1"/>
  <c r="K18" i="10"/>
  <c r="J18" i="10"/>
  <c r="M18" i="10" s="1"/>
  <c r="O18" i="10" s="1"/>
  <c r="M17" i="10"/>
  <c r="O17" i="10" s="1"/>
  <c r="K17" i="10"/>
  <c r="J17" i="10"/>
  <c r="L17" i="10" s="1"/>
  <c r="K16" i="10"/>
  <c r="J16" i="10"/>
  <c r="M16" i="10" s="1"/>
  <c r="K15" i="10"/>
  <c r="J15" i="10"/>
  <c r="M15" i="10" s="1"/>
  <c r="K14" i="10"/>
  <c r="J14" i="10"/>
  <c r="L14" i="10" s="1"/>
  <c r="K13" i="10"/>
  <c r="J13" i="10"/>
  <c r="L13" i="10" s="1"/>
  <c r="K12" i="10"/>
  <c r="J12" i="10"/>
  <c r="L12" i="10" s="1"/>
  <c r="K11" i="10"/>
  <c r="J11" i="10"/>
  <c r="M11" i="10" s="1"/>
  <c r="K10" i="10"/>
  <c r="J10" i="10"/>
  <c r="M10" i="10" s="1"/>
  <c r="K9" i="10"/>
  <c r="J9" i="10"/>
  <c r="M9" i="10" s="1"/>
  <c r="O9" i="10" s="1"/>
  <c r="K8" i="10"/>
  <c r="J8" i="10"/>
  <c r="M8" i="10" s="1"/>
  <c r="K7" i="10"/>
  <c r="J7" i="10"/>
  <c r="L7" i="10" s="1"/>
  <c r="K6" i="10"/>
  <c r="J6" i="10"/>
  <c r="M6" i="10" s="1"/>
  <c r="O6" i="10" s="1"/>
  <c r="K5" i="10"/>
  <c r="J5" i="10"/>
  <c r="M5" i="10" s="1"/>
  <c r="O5" i="10" s="1"/>
  <c r="K4" i="10"/>
  <c r="J4" i="10"/>
  <c r="M4" i="10" s="1"/>
  <c r="O4" i="10" s="1"/>
  <c r="K3" i="10"/>
  <c r="J3" i="10"/>
  <c r="L3" i="10" s="1"/>
  <c r="K89" i="9"/>
  <c r="J89" i="9"/>
  <c r="M89" i="9" s="1"/>
  <c r="K88" i="9"/>
  <c r="J88" i="9"/>
  <c r="M88" i="9" s="1"/>
  <c r="K87" i="9"/>
  <c r="J87" i="9"/>
  <c r="L87" i="9" s="1"/>
  <c r="N87" i="9" s="1"/>
  <c r="K86" i="9"/>
  <c r="J86" i="9"/>
  <c r="M86" i="9" s="1"/>
  <c r="K85" i="9"/>
  <c r="J85" i="9"/>
  <c r="M85" i="9" s="1"/>
  <c r="K84" i="9"/>
  <c r="J84" i="9"/>
  <c r="L84" i="9" s="1"/>
  <c r="K83" i="9"/>
  <c r="J83" i="9"/>
  <c r="M83" i="9" s="1"/>
  <c r="K82" i="9"/>
  <c r="J82" i="9"/>
  <c r="M82" i="9" s="1"/>
  <c r="O82" i="9" s="1"/>
  <c r="K81" i="9"/>
  <c r="J81" i="9"/>
  <c r="M81" i="9" s="1"/>
  <c r="K80" i="9"/>
  <c r="J80" i="9"/>
  <c r="L80" i="9" s="1"/>
  <c r="N80" i="9" s="1"/>
  <c r="K79" i="9"/>
  <c r="J79" i="9"/>
  <c r="M79" i="9" s="1"/>
  <c r="O79" i="9" s="1"/>
  <c r="K78" i="9"/>
  <c r="J78" i="9"/>
  <c r="M78" i="9" s="1"/>
  <c r="K77" i="9"/>
  <c r="J77" i="9"/>
  <c r="M77" i="9" s="1"/>
  <c r="O77" i="9" s="1"/>
  <c r="K76" i="9"/>
  <c r="J76" i="9"/>
  <c r="M76" i="9" s="1"/>
  <c r="K75" i="9"/>
  <c r="J75" i="9"/>
  <c r="M75" i="9" s="1"/>
  <c r="K74" i="9"/>
  <c r="J74" i="9"/>
  <c r="L74" i="9" s="1"/>
  <c r="K73" i="9"/>
  <c r="J73" i="9"/>
  <c r="M73" i="9" s="1"/>
  <c r="O73" i="9" s="1"/>
  <c r="K72" i="9"/>
  <c r="J72" i="9"/>
  <c r="M72" i="9" s="1"/>
  <c r="O72" i="9" s="1"/>
  <c r="M71" i="9"/>
  <c r="O71" i="9" s="1"/>
  <c r="K71" i="9"/>
  <c r="J71" i="9"/>
  <c r="L71" i="9" s="1"/>
  <c r="K70" i="9"/>
  <c r="J70" i="9"/>
  <c r="L70" i="9" s="1"/>
  <c r="N70" i="9" s="1"/>
  <c r="K69" i="9"/>
  <c r="J69" i="9"/>
  <c r="L69" i="9" s="1"/>
  <c r="K67" i="9"/>
  <c r="J67" i="9"/>
  <c r="M67" i="9" s="1"/>
  <c r="K66" i="9"/>
  <c r="J66" i="9"/>
  <c r="M66" i="9" s="1"/>
  <c r="O66" i="9" s="1"/>
  <c r="K65" i="9"/>
  <c r="J65" i="9"/>
  <c r="M65" i="9" s="1"/>
  <c r="K64" i="9"/>
  <c r="J64" i="9"/>
  <c r="M64" i="9" s="1"/>
  <c r="K63" i="9"/>
  <c r="J63" i="9"/>
  <c r="L63" i="9" s="1"/>
  <c r="N63" i="9" s="1"/>
  <c r="K62" i="9"/>
  <c r="J62" i="9"/>
  <c r="M62" i="9" s="1"/>
  <c r="K61" i="9"/>
  <c r="J61" i="9"/>
  <c r="M61" i="9" s="1"/>
  <c r="K60" i="9"/>
  <c r="J60" i="9"/>
  <c r="L60" i="9" s="1"/>
  <c r="K59" i="9"/>
  <c r="J59" i="9"/>
  <c r="M59" i="9" s="1"/>
  <c r="O59" i="9" s="1"/>
  <c r="K58" i="9"/>
  <c r="J58" i="9"/>
  <c r="M58" i="9" s="1"/>
  <c r="O58" i="9" s="1"/>
  <c r="K57" i="9"/>
  <c r="J57" i="9"/>
  <c r="M57" i="9" s="1"/>
  <c r="O57" i="9" s="1"/>
  <c r="K56" i="9"/>
  <c r="J56" i="9"/>
  <c r="L56" i="9" s="1"/>
  <c r="K55" i="9"/>
  <c r="J55" i="9"/>
  <c r="M55" i="9" s="1"/>
  <c r="K54" i="9"/>
  <c r="J54" i="9"/>
  <c r="M54" i="9" s="1"/>
  <c r="O54" i="9" s="1"/>
  <c r="M53" i="9"/>
  <c r="K53" i="9"/>
  <c r="J53" i="9"/>
  <c r="L53" i="9" s="1"/>
  <c r="K52" i="9"/>
  <c r="J52" i="9"/>
  <c r="M52" i="9" s="1"/>
  <c r="K51" i="9"/>
  <c r="J51" i="9"/>
  <c r="M51" i="9" s="1"/>
  <c r="O51" i="9" s="1"/>
  <c r="M50" i="9"/>
  <c r="L50" i="9"/>
  <c r="K50" i="9"/>
  <c r="J50" i="9"/>
  <c r="K49" i="9"/>
  <c r="J49" i="9"/>
  <c r="M49" i="9" s="1"/>
  <c r="O49" i="9" s="1"/>
  <c r="K48" i="9"/>
  <c r="J48" i="9"/>
  <c r="M48" i="9" s="1"/>
  <c r="O48" i="9" s="1"/>
  <c r="K47" i="9"/>
  <c r="J47" i="9"/>
  <c r="M47" i="9" s="1"/>
  <c r="O47" i="9" s="1"/>
  <c r="K45" i="9"/>
  <c r="J45" i="9"/>
  <c r="M45" i="9" s="1"/>
  <c r="O45" i="9" s="1"/>
  <c r="K44" i="9"/>
  <c r="J44" i="9"/>
  <c r="M44" i="9" s="1"/>
  <c r="K43" i="9"/>
  <c r="J43" i="9"/>
  <c r="M43" i="9" s="1"/>
  <c r="K42" i="9"/>
  <c r="J42" i="9"/>
  <c r="L42" i="9" s="1"/>
  <c r="N42" i="9" s="1"/>
  <c r="K41" i="9"/>
  <c r="J41" i="9"/>
  <c r="M41" i="9" s="1"/>
  <c r="L40" i="9"/>
  <c r="K40" i="9"/>
  <c r="J40" i="9"/>
  <c r="M40" i="9" s="1"/>
  <c r="M39" i="9"/>
  <c r="L39" i="9"/>
  <c r="K39" i="9"/>
  <c r="N39" i="9" s="1"/>
  <c r="J39" i="9"/>
  <c r="K38" i="9"/>
  <c r="J38" i="9"/>
  <c r="M38" i="9" s="1"/>
  <c r="K37" i="9"/>
  <c r="J37" i="9"/>
  <c r="M37" i="9" s="1"/>
  <c r="O37" i="9" s="1"/>
  <c r="K36" i="9"/>
  <c r="J36" i="9"/>
  <c r="M36" i="9" s="1"/>
  <c r="O36" i="9" s="1"/>
  <c r="K35" i="9"/>
  <c r="J35" i="9"/>
  <c r="L35" i="9" s="1"/>
  <c r="N35" i="9" s="1"/>
  <c r="K34" i="9"/>
  <c r="J34" i="9"/>
  <c r="M34" i="9" s="1"/>
  <c r="O34" i="9" s="1"/>
  <c r="K33" i="9"/>
  <c r="J33" i="9"/>
  <c r="M33" i="9" s="1"/>
  <c r="K32" i="9"/>
  <c r="J32" i="9"/>
  <c r="L32" i="9" s="1"/>
  <c r="N32" i="9" s="1"/>
  <c r="K31" i="9"/>
  <c r="J31" i="9"/>
  <c r="M31" i="9" s="1"/>
  <c r="K30" i="9"/>
  <c r="J30" i="9"/>
  <c r="M30" i="9" s="1"/>
  <c r="O30" i="9" s="1"/>
  <c r="K29" i="9"/>
  <c r="J29" i="9"/>
  <c r="M29" i="9" s="1"/>
  <c r="O29" i="9" s="1"/>
  <c r="K28" i="9"/>
  <c r="J28" i="9"/>
  <c r="M28" i="9" s="1"/>
  <c r="K27" i="9"/>
  <c r="J27" i="9"/>
  <c r="M27" i="9" s="1"/>
  <c r="K26" i="9"/>
  <c r="J26" i="9"/>
  <c r="L26" i="9" s="1"/>
  <c r="K25" i="9"/>
  <c r="J25" i="9"/>
  <c r="L25" i="9" s="1"/>
  <c r="N25" i="9" s="1"/>
  <c r="K23" i="9"/>
  <c r="J23" i="9"/>
  <c r="M23" i="9" s="1"/>
  <c r="O23" i="9" s="1"/>
  <c r="K22" i="9"/>
  <c r="J22" i="9"/>
  <c r="M22" i="9" s="1"/>
  <c r="O22" i="9" s="1"/>
  <c r="K21" i="9"/>
  <c r="J21" i="9"/>
  <c r="L21" i="9" s="1"/>
  <c r="N21" i="9" s="1"/>
  <c r="K20" i="9"/>
  <c r="J20" i="9"/>
  <c r="M20" i="9" s="1"/>
  <c r="K19" i="9"/>
  <c r="J19" i="9"/>
  <c r="M19" i="9" s="1"/>
  <c r="M18" i="9"/>
  <c r="O18" i="9" s="1"/>
  <c r="L18" i="9"/>
  <c r="K18" i="9"/>
  <c r="J18" i="9"/>
  <c r="K17" i="9"/>
  <c r="J17" i="9"/>
  <c r="M17" i="9" s="1"/>
  <c r="K16" i="9"/>
  <c r="J16" i="9"/>
  <c r="M16" i="9" s="1"/>
  <c r="O16" i="9" s="1"/>
  <c r="K15" i="9"/>
  <c r="J15" i="9"/>
  <c r="L15" i="9" s="1"/>
  <c r="K14" i="9"/>
  <c r="J14" i="9"/>
  <c r="L14" i="9" s="1"/>
  <c r="N14" i="9" s="1"/>
  <c r="K13" i="9"/>
  <c r="J13" i="9"/>
  <c r="M13" i="9" s="1"/>
  <c r="K12" i="9"/>
  <c r="J12" i="9"/>
  <c r="M12" i="9" s="1"/>
  <c r="O12" i="9" s="1"/>
  <c r="M11" i="9"/>
  <c r="O11" i="9" s="1"/>
  <c r="K11" i="9"/>
  <c r="J11" i="9"/>
  <c r="L11" i="9" s="1"/>
  <c r="N11" i="9" s="1"/>
  <c r="K10" i="9"/>
  <c r="J10" i="9"/>
  <c r="M10" i="9" s="1"/>
  <c r="K9" i="9"/>
  <c r="J9" i="9"/>
  <c r="M9" i="9" s="1"/>
  <c r="M8" i="9"/>
  <c r="O8" i="9" s="1"/>
  <c r="K8" i="9"/>
  <c r="J8" i="9"/>
  <c r="L8" i="9" s="1"/>
  <c r="K7" i="9"/>
  <c r="J7" i="9"/>
  <c r="M7" i="9" s="1"/>
  <c r="O7" i="9" s="1"/>
  <c r="K6" i="9"/>
  <c r="J6" i="9"/>
  <c r="M6" i="9" s="1"/>
  <c r="O6" i="9" s="1"/>
  <c r="K5" i="9"/>
  <c r="J5" i="9"/>
  <c r="L5" i="9" s="1"/>
  <c r="K4" i="9"/>
  <c r="J4" i="9"/>
  <c r="L4" i="9" s="1"/>
  <c r="K3" i="9"/>
  <c r="J3" i="9"/>
  <c r="M3" i="9" s="1"/>
  <c r="K69" i="8"/>
  <c r="J69" i="8"/>
  <c r="M69" i="8" s="1"/>
  <c r="K68" i="8"/>
  <c r="J68" i="8"/>
  <c r="L68" i="8" s="1"/>
  <c r="K67" i="8"/>
  <c r="J67" i="8"/>
  <c r="M67" i="8" s="1"/>
  <c r="O67" i="8" s="1"/>
  <c r="K66" i="8"/>
  <c r="J66" i="8"/>
  <c r="M66" i="8" s="1"/>
  <c r="O66" i="8" s="1"/>
  <c r="K65" i="8"/>
  <c r="J65" i="8"/>
  <c r="L65" i="8" s="1"/>
  <c r="N65" i="8" s="1"/>
  <c r="K64" i="8"/>
  <c r="J64" i="8"/>
  <c r="M64" i="8" s="1"/>
  <c r="K63" i="8"/>
  <c r="J63" i="8"/>
  <c r="M63" i="8" s="1"/>
  <c r="K62" i="8"/>
  <c r="J62" i="8"/>
  <c r="M62" i="8" s="1"/>
  <c r="O62" i="8" s="1"/>
  <c r="K61" i="8"/>
  <c r="J61" i="8"/>
  <c r="M61" i="8" s="1"/>
  <c r="K60" i="8"/>
  <c r="J60" i="8"/>
  <c r="M60" i="8" s="1"/>
  <c r="O60" i="8" s="1"/>
  <c r="K59" i="8"/>
  <c r="J59" i="8"/>
  <c r="M59" i="8" s="1"/>
  <c r="O59" i="8" s="1"/>
  <c r="K58" i="8"/>
  <c r="J58" i="8"/>
  <c r="L58" i="8" s="1"/>
  <c r="K57" i="8"/>
  <c r="J57" i="8"/>
  <c r="L57" i="8" s="1"/>
  <c r="K56" i="8"/>
  <c r="J56" i="8"/>
  <c r="M56" i="8" s="1"/>
  <c r="O56" i="8" s="1"/>
  <c r="M55" i="8"/>
  <c r="O55" i="8" s="1"/>
  <c r="K55" i="8"/>
  <c r="J55" i="8"/>
  <c r="L55" i="8" s="1"/>
  <c r="K54" i="8"/>
  <c r="J54" i="8"/>
  <c r="M54" i="8" s="1"/>
  <c r="O54" i="8" s="1"/>
  <c r="K52" i="8"/>
  <c r="J52" i="8"/>
  <c r="L52" i="8" s="1"/>
  <c r="N52" i="8" s="1"/>
  <c r="K51" i="8"/>
  <c r="J51" i="8"/>
  <c r="M51" i="8" s="1"/>
  <c r="O51" i="8" s="1"/>
  <c r="K50" i="8"/>
  <c r="J50" i="8"/>
  <c r="M50" i="8" s="1"/>
  <c r="O50" i="8" s="1"/>
  <c r="K49" i="8"/>
  <c r="J49" i="8"/>
  <c r="M49" i="8" s="1"/>
  <c r="K48" i="8"/>
  <c r="J48" i="8"/>
  <c r="M48" i="8" s="1"/>
  <c r="K47" i="8"/>
  <c r="J47" i="8"/>
  <c r="L47" i="8" s="1"/>
  <c r="K46" i="8"/>
  <c r="J46" i="8"/>
  <c r="L46" i="8" s="1"/>
  <c r="K45" i="8"/>
  <c r="J45" i="8"/>
  <c r="M45" i="8" s="1"/>
  <c r="K44" i="8"/>
  <c r="J44" i="8"/>
  <c r="L44" i="8" s="1"/>
  <c r="N44" i="8" s="1"/>
  <c r="K43" i="8"/>
  <c r="J43" i="8"/>
  <c r="M43" i="8" s="1"/>
  <c r="O43" i="8" s="1"/>
  <c r="K42" i="8"/>
  <c r="J42" i="8"/>
  <c r="M42" i="8" s="1"/>
  <c r="K41" i="8"/>
  <c r="J41" i="8"/>
  <c r="M41" i="8" s="1"/>
  <c r="K40" i="8"/>
  <c r="J40" i="8"/>
  <c r="M40" i="8" s="1"/>
  <c r="O40" i="8" s="1"/>
  <c r="K39" i="8"/>
  <c r="J39" i="8"/>
  <c r="L39" i="8" s="1"/>
  <c r="K38" i="8"/>
  <c r="J38" i="8"/>
  <c r="M38" i="8" s="1"/>
  <c r="O38" i="8" s="1"/>
  <c r="K37" i="8"/>
  <c r="J37" i="8"/>
  <c r="L37" i="8" s="1"/>
  <c r="K35" i="8"/>
  <c r="J35" i="8"/>
  <c r="L35" i="8" s="1"/>
  <c r="K34" i="8"/>
  <c r="J34" i="8"/>
  <c r="M34" i="8" s="1"/>
  <c r="K33" i="8"/>
  <c r="J33" i="8"/>
  <c r="L33" i="8" s="1"/>
  <c r="N33" i="8" s="1"/>
  <c r="K32" i="8"/>
  <c r="J32" i="8"/>
  <c r="M32" i="8" s="1"/>
  <c r="K31" i="8"/>
  <c r="J31" i="8"/>
  <c r="M31" i="8" s="1"/>
  <c r="O31" i="8" s="1"/>
  <c r="K30" i="8"/>
  <c r="J30" i="8"/>
  <c r="M30" i="8" s="1"/>
  <c r="O30" i="8" s="1"/>
  <c r="K29" i="8"/>
  <c r="J29" i="8"/>
  <c r="M29" i="8" s="1"/>
  <c r="O29" i="8" s="1"/>
  <c r="K28" i="8"/>
  <c r="J28" i="8"/>
  <c r="M28" i="8" s="1"/>
  <c r="O28" i="8" s="1"/>
  <c r="K27" i="8"/>
  <c r="J27" i="8"/>
  <c r="M27" i="8" s="1"/>
  <c r="O27" i="8" s="1"/>
  <c r="K26" i="8"/>
  <c r="J26" i="8"/>
  <c r="L26" i="8" s="1"/>
  <c r="K25" i="8"/>
  <c r="J25" i="8"/>
  <c r="L25" i="8" s="1"/>
  <c r="K24" i="8"/>
  <c r="J24" i="8"/>
  <c r="M24" i="8" s="1"/>
  <c r="K23" i="8"/>
  <c r="J23" i="8"/>
  <c r="L23" i="8" s="1"/>
  <c r="N23" i="8" s="1"/>
  <c r="K22" i="8"/>
  <c r="J22" i="8"/>
  <c r="M22" i="8" s="1"/>
  <c r="O22" i="8" s="1"/>
  <c r="K21" i="8"/>
  <c r="J21" i="8"/>
  <c r="M21" i="8" s="1"/>
  <c r="O21" i="8" s="1"/>
  <c r="K20" i="8"/>
  <c r="J20" i="8"/>
  <c r="M20" i="8" s="1"/>
  <c r="O20" i="8" s="1"/>
  <c r="K18" i="8"/>
  <c r="J18" i="8"/>
  <c r="M18" i="8" s="1"/>
  <c r="O18" i="8" s="1"/>
  <c r="K17" i="8"/>
  <c r="J17" i="8"/>
  <c r="M17" i="8" s="1"/>
  <c r="K16" i="8"/>
  <c r="J16" i="8"/>
  <c r="M16" i="8" s="1"/>
  <c r="K15" i="8"/>
  <c r="J15" i="8"/>
  <c r="L15" i="8" s="1"/>
  <c r="K14" i="8"/>
  <c r="J14" i="8"/>
  <c r="L14" i="8" s="1"/>
  <c r="K13" i="8"/>
  <c r="J13" i="8"/>
  <c r="M13" i="8" s="1"/>
  <c r="K12" i="8"/>
  <c r="J12" i="8"/>
  <c r="L12" i="8" s="1"/>
  <c r="K11" i="8"/>
  <c r="J11" i="8"/>
  <c r="M11" i="8" s="1"/>
  <c r="O11" i="8" s="1"/>
  <c r="K10" i="8"/>
  <c r="J10" i="8"/>
  <c r="M10" i="8" s="1"/>
  <c r="K9" i="8"/>
  <c r="J9" i="8"/>
  <c r="M9" i="8" s="1"/>
  <c r="K8" i="8"/>
  <c r="J8" i="8"/>
  <c r="M8" i="8" s="1"/>
  <c r="K7" i="8"/>
  <c r="J7" i="8"/>
  <c r="M7" i="8" s="1"/>
  <c r="K6" i="8"/>
  <c r="J6" i="8"/>
  <c r="M6" i="8" s="1"/>
  <c r="K5" i="8"/>
  <c r="J5" i="8"/>
  <c r="L5" i="8" s="1"/>
  <c r="K4" i="8"/>
  <c r="J4" i="8"/>
  <c r="L4" i="8" s="1"/>
  <c r="K3" i="8"/>
  <c r="J3" i="8"/>
  <c r="M3" i="8" s="1"/>
  <c r="K89" i="7"/>
  <c r="J89" i="7"/>
  <c r="L89" i="7" s="1"/>
  <c r="K88" i="7"/>
  <c r="J88" i="7"/>
  <c r="M88" i="7" s="1"/>
  <c r="K87" i="7"/>
  <c r="J87" i="7"/>
  <c r="L87" i="7" s="1"/>
  <c r="K86" i="7"/>
  <c r="J86" i="7"/>
  <c r="M86" i="7" s="1"/>
  <c r="O86" i="7" s="1"/>
  <c r="K85" i="7"/>
  <c r="J85" i="7"/>
  <c r="M85" i="7" s="1"/>
  <c r="O85" i="7" s="1"/>
  <c r="K84" i="7"/>
  <c r="J84" i="7"/>
  <c r="L84" i="7" s="1"/>
  <c r="K83" i="7"/>
  <c r="J83" i="7"/>
  <c r="M83" i="7" s="1"/>
  <c r="K82" i="7"/>
  <c r="J82" i="7"/>
  <c r="L82" i="7" s="1"/>
  <c r="K81" i="7"/>
  <c r="J81" i="7"/>
  <c r="L81" i="7" s="1"/>
  <c r="K80" i="7"/>
  <c r="J80" i="7"/>
  <c r="M80" i="7" s="1"/>
  <c r="K79" i="7"/>
  <c r="J79" i="7"/>
  <c r="L79" i="7" s="1"/>
  <c r="N79" i="7" s="1"/>
  <c r="K78" i="7"/>
  <c r="J78" i="7"/>
  <c r="M78" i="7" s="1"/>
  <c r="O78" i="7" s="1"/>
  <c r="K77" i="7"/>
  <c r="J77" i="7"/>
  <c r="M77" i="7" s="1"/>
  <c r="K76" i="7"/>
  <c r="J76" i="7"/>
  <c r="M76" i="7" s="1"/>
  <c r="K75" i="7"/>
  <c r="J75" i="7"/>
  <c r="M75" i="7" s="1"/>
  <c r="K74" i="7"/>
  <c r="J74" i="7"/>
  <c r="L74" i="7" s="1"/>
  <c r="K73" i="7"/>
  <c r="J73" i="7"/>
  <c r="M73" i="7" s="1"/>
  <c r="O73" i="7" s="1"/>
  <c r="K72" i="7"/>
  <c r="J72" i="7"/>
  <c r="L72" i="7" s="1"/>
  <c r="K71" i="7"/>
  <c r="J71" i="7"/>
  <c r="L71" i="7" s="1"/>
  <c r="K70" i="7"/>
  <c r="J70" i="7"/>
  <c r="M70" i="7" s="1"/>
  <c r="K69" i="7"/>
  <c r="J69" i="7"/>
  <c r="L69" i="7" s="1"/>
  <c r="N69" i="7" s="1"/>
  <c r="K67" i="7"/>
  <c r="J67" i="7"/>
  <c r="M67" i="7" s="1"/>
  <c r="K66" i="7"/>
  <c r="J66" i="7"/>
  <c r="M66" i="7" s="1"/>
  <c r="O66" i="7" s="1"/>
  <c r="K65" i="7"/>
  <c r="J65" i="7"/>
  <c r="M65" i="7" s="1"/>
  <c r="K64" i="7"/>
  <c r="J64" i="7"/>
  <c r="M64" i="7" s="1"/>
  <c r="K63" i="7"/>
  <c r="J63" i="7"/>
  <c r="L63" i="7" s="1"/>
  <c r="K62" i="7"/>
  <c r="J62" i="7"/>
  <c r="M62" i="7" s="1"/>
  <c r="K61" i="7"/>
  <c r="J61" i="7"/>
  <c r="L61" i="7" s="1"/>
  <c r="K60" i="7"/>
  <c r="J60" i="7"/>
  <c r="L60" i="7" s="1"/>
  <c r="K59" i="7"/>
  <c r="J59" i="7"/>
  <c r="M59" i="7" s="1"/>
  <c r="K58" i="7"/>
  <c r="J58" i="7"/>
  <c r="L58" i="7" s="1"/>
  <c r="K57" i="7"/>
  <c r="J57" i="7"/>
  <c r="M57" i="7" s="1"/>
  <c r="K56" i="7"/>
  <c r="J56" i="7"/>
  <c r="M56" i="7" s="1"/>
  <c r="O56" i="7" s="1"/>
  <c r="K55" i="7"/>
  <c r="J55" i="7"/>
  <c r="M55" i="7" s="1"/>
  <c r="K54" i="7"/>
  <c r="J54" i="7"/>
  <c r="M54" i="7" s="1"/>
  <c r="K53" i="7"/>
  <c r="J53" i="7"/>
  <c r="L53" i="7" s="1"/>
  <c r="K52" i="7"/>
  <c r="J52" i="7"/>
  <c r="M52" i="7" s="1"/>
  <c r="K51" i="7"/>
  <c r="J51" i="7"/>
  <c r="L51" i="7" s="1"/>
  <c r="K50" i="7"/>
  <c r="J50" i="7"/>
  <c r="L50" i="7" s="1"/>
  <c r="K49" i="7"/>
  <c r="J49" i="7"/>
  <c r="M49" i="7" s="1"/>
  <c r="K48" i="7"/>
  <c r="J48" i="7"/>
  <c r="L48" i="7" s="1"/>
  <c r="K47" i="7"/>
  <c r="J47" i="7"/>
  <c r="M47" i="7" s="1"/>
  <c r="K45" i="7"/>
  <c r="J45" i="7"/>
  <c r="M45" i="7" s="1"/>
  <c r="K44" i="7"/>
  <c r="J44" i="7"/>
  <c r="M44" i="7" s="1"/>
  <c r="K43" i="7"/>
  <c r="J43" i="7"/>
  <c r="M43" i="7" s="1"/>
  <c r="K42" i="7"/>
  <c r="J42" i="7"/>
  <c r="L42" i="7" s="1"/>
  <c r="K41" i="7"/>
  <c r="J41" i="7"/>
  <c r="M41" i="7" s="1"/>
  <c r="K40" i="7"/>
  <c r="J40" i="7"/>
  <c r="L40" i="7" s="1"/>
  <c r="K39" i="7"/>
  <c r="J39" i="7"/>
  <c r="L39" i="7" s="1"/>
  <c r="K38" i="7"/>
  <c r="J38" i="7"/>
  <c r="M38" i="7" s="1"/>
  <c r="K37" i="7"/>
  <c r="J37" i="7"/>
  <c r="L37" i="7" s="1"/>
  <c r="N37" i="7" s="1"/>
  <c r="K36" i="7"/>
  <c r="J36" i="7"/>
  <c r="M36" i="7" s="1"/>
  <c r="K35" i="7"/>
  <c r="J35" i="7"/>
  <c r="L35" i="7" s="1"/>
  <c r="N35" i="7" s="1"/>
  <c r="K34" i="7"/>
  <c r="J34" i="7"/>
  <c r="M34" i="7" s="1"/>
  <c r="O34" i="7" s="1"/>
  <c r="K33" i="7"/>
  <c r="J33" i="7"/>
  <c r="M33" i="7" s="1"/>
  <c r="K32" i="7"/>
  <c r="J32" i="7"/>
  <c r="L32" i="7" s="1"/>
  <c r="K31" i="7"/>
  <c r="J31" i="7"/>
  <c r="M31" i="7" s="1"/>
  <c r="K30" i="7"/>
  <c r="J30" i="7"/>
  <c r="L30" i="7" s="1"/>
  <c r="K29" i="7"/>
  <c r="J29" i="7"/>
  <c r="L29" i="7" s="1"/>
  <c r="K28" i="7"/>
  <c r="J28" i="7"/>
  <c r="M28" i="7" s="1"/>
  <c r="K27" i="7"/>
  <c r="J27" i="7"/>
  <c r="L27" i="7" s="1"/>
  <c r="N27" i="7" s="1"/>
  <c r="K26" i="7"/>
  <c r="J26" i="7"/>
  <c r="M26" i="7" s="1"/>
  <c r="O26" i="7" s="1"/>
  <c r="K25" i="7"/>
  <c r="J25" i="7"/>
  <c r="M25" i="7" s="1"/>
  <c r="O25" i="7" s="1"/>
  <c r="K23" i="7"/>
  <c r="J23" i="7"/>
  <c r="M23" i="7" s="1"/>
  <c r="K22" i="7"/>
  <c r="J22" i="7"/>
  <c r="M22" i="7" s="1"/>
  <c r="K21" i="7"/>
  <c r="J21" i="7"/>
  <c r="L21" i="7" s="1"/>
  <c r="K20" i="7"/>
  <c r="J20" i="7"/>
  <c r="M20" i="7" s="1"/>
  <c r="K19" i="7"/>
  <c r="J19" i="7"/>
  <c r="L19" i="7" s="1"/>
  <c r="K18" i="7"/>
  <c r="J18" i="7"/>
  <c r="L18" i="7" s="1"/>
  <c r="K17" i="7"/>
  <c r="J17" i="7"/>
  <c r="M17" i="7" s="1"/>
  <c r="K16" i="7"/>
  <c r="J16" i="7"/>
  <c r="L16" i="7" s="1"/>
  <c r="K15" i="7"/>
  <c r="J15" i="7"/>
  <c r="M15" i="7" s="1"/>
  <c r="O15" i="7" s="1"/>
  <c r="K14" i="7"/>
  <c r="J14" i="7"/>
  <c r="M14" i="7" s="1"/>
  <c r="K13" i="7"/>
  <c r="J13" i="7"/>
  <c r="L13" i="7" s="1"/>
  <c r="K12" i="7"/>
  <c r="J12" i="7"/>
  <c r="M12" i="7" s="1"/>
  <c r="O12" i="7" s="1"/>
  <c r="K11" i="7"/>
  <c r="J11" i="7"/>
  <c r="M11" i="7" s="1"/>
  <c r="K10" i="7"/>
  <c r="J10" i="7"/>
  <c r="M10" i="7" s="1"/>
  <c r="K9" i="7"/>
  <c r="J9" i="7"/>
  <c r="L9" i="7" s="1"/>
  <c r="K8" i="7"/>
  <c r="J8" i="7"/>
  <c r="L8" i="7" s="1"/>
  <c r="K7" i="7"/>
  <c r="J7" i="7"/>
  <c r="M7" i="7" s="1"/>
  <c r="K6" i="7"/>
  <c r="J6" i="7"/>
  <c r="L6" i="7" s="1"/>
  <c r="N6" i="7" s="1"/>
  <c r="K5" i="7"/>
  <c r="J5" i="7"/>
  <c r="M5" i="7" s="1"/>
  <c r="O5" i="7" s="1"/>
  <c r="K4" i="7"/>
  <c r="J4" i="7"/>
  <c r="M4" i="7" s="1"/>
  <c r="K3" i="7"/>
  <c r="J3" i="7"/>
  <c r="L3" i="7" s="1"/>
  <c r="K69" i="6"/>
  <c r="J69" i="6"/>
  <c r="M69" i="6" s="1"/>
  <c r="K68" i="6"/>
  <c r="J68" i="6"/>
  <c r="M68" i="6" s="1"/>
  <c r="O68" i="6" s="1"/>
  <c r="K67" i="6"/>
  <c r="J67" i="6"/>
  <c r="M67" i="6" s="1"/>
  <c r="O67" i="6" s="1"/>
  <c r="K66" i="6"/>
  <c r="J66" i="6"/>
  <c r="M66" i="6" s="1"/>
  <c r="K65" i="6"/>
  <c r="J65" i="6"/>
  <c r="L65" i="6" s="1"/>
  <c r="K64" i="6"/>
  <c r="J64" i="6"/>
  <c r="L64" i="6" s="1"/>
  <c r="K63" i="6"/>
  <c r="J63" i="6"/>
  <c r="M63" i="6" s="1"/>
  <c r="O63" i="6" s="1"/>
  <c r="K62" i="6"/>
  <c r="J62" i="6"/>
  <c r="M62" i="6" s="1"/>
  <c r="O62" i="6" s="1"/>
  <c r="K61" i="6"/>
  <c r="J61" i="6"/>
  <c r="K60" i="6"/>
  <c r="J60" i="6"/>
  <c r="L60" i="6" s="1"/>
  <c r="K59" i="6"/>
  <c r="J59" i="6"/>
  <c r="M59" i="6" s="1"/>
  <c r="K58" i="6"/>
  <c r="J58" i="6"/>
  <c r="M58" i="6" s="1"/>
  <c r="K57" i="6"/>
  <c r="J57" i="6"/>
  <c r="M57" i="6" s="1"/>
  <c r="O57" i="6" s="1"/>
  <c r="K56" i="6"/>
  <c r="J56" i="6"/>
  <c r="M56" i="6" s="1"/>
  <c r="O56" i="6" s="1"/>
  <c r="M55" i="6"/>
  <c r="K55" i="6"/>
  <c r="J55" i="6"/>
  <c r="L55" i="6" s="1"/>
  <c r="K54" i="6"/>
  <c r="J54" i="6"/>
  <c r="M54" i="6" s="1"/>
  <c r="K52" i="6"/>
  <c r="J52" i="6"/>
  <c r="L52" i="6" s="1"/>
  <c r="K51" i="6"/>
  <c r="J51" i="6"/>
  <c r="M51" i="6" s="1"/>
  <c r="O51" i="6" s="1"/>
  <c r="K50" i="6"/>
  <c r="J50" i="6"/>
  <c r="K49" i="6"/>
  <c r="J49" i="6"/>
  <c r="M49" i="6" s="1"/>
  <c r="K48" i="6"/>
  <c r="J48" i="6"/>
  <c r="M48" i="6" s="1"/>
  <c r="O48" i="6" s="1"/>
  <c r="K47" i="6"/>
  <c r="J47" i="6"/>
  <c r="M47" i="6" s="1"/>
  <c r="O47" i="6" s="1"/>
  <c r="K46" i="6"/>
  <c r="J46" i="6"/>
  <c r="M46" i="6" s="1"/>
  <c r="O46" i="6" s="1"/>
  <c r="K45" i="6"/>
  <c r="J45" i="6"/>
  <c r="M45" i="6" s="1"/>
  <c r="K44" i="6"/>
  <c r="J44" i="6"/>
  <c r="L44" i="6" s="1"/>
  <c r="K43" i="6"/>
  <c r="J43" i="6"/>
  <c r="M43" i="6" s="1"/>
  <c r="K42" i="6"/>
  <c r="J42" i="6"/>
  <c r="L42" i="6" s="1"/>
  <c r="K41" i="6"/>
  <c r="J41" i="6"/>
  <c r="M41" i="6" s="1"/>
  <c r="O41" i="6" s="1"/>
  <c r="K40" i="6"/>
  <c r="J40" i="6"/>
  <c r="K39" i="6"/>
  <c r="J39" i="6"/>
  <c r="M39" i="6" s="1"/>
  <c r="K38" i="6"/>
  <c r="J38" i="6"/>
  <c r="M38" i="6" s="1"/>
  <c r="O38" i="6" s="1"/>
  <c r="K37" i="6"/>
  <c r="J37" i="6"/>
  <c r="M37" i="6" s="1"/>
  <c r="O37" i="6" s="1"/>
  <c r="K35" i="6"/>
  <c r="J35" i="6"/>
  <c r="M35" i="6" s="1"/>
  <c r="O35" i="6" s="1"/>
  <c r="K34" i="6"/>
  <c r="J34" i="6"/>
  <c r="M34" i="6" s="1"/>
  <c r="O34" i="6" s="1"/>
  <c r="K33" i="6"/>
  <c r="J33" i="6"/>
  <c r="L33" i="6" s="1"/>
  <c r="K32" i="6"/>
  <c r="J32" i="6"/>
  <c r="M32" i="6" s="1"/>
  <c r="O32" i="6" s="1"/>
  <c r="L31" i="6"/>
  <c r="N31" i="6" s="1"/>
  <c r="K31" i="6"/>
  <c r="J31" i="6"/>
  <c r="M31" i="6" s="1"/>
  <c r="O31" i="6" s="1"/>
  <c r="M30" i="6"/>
  <c r="K30" i="6"/>
  <c r="J30" i="6"/>
  <c r="L30" i="6" s="1"/>
  <c r="K29" i="6"/>
  <c r="J29" i="6"/>
  <c r="K28" i="6"/>
  <c r="J28" i="6"/>
  <c r="M28" i="6" s="1"/>
  <c r="K27" i="6"/>
  <c r="J27" i="6"/>
  <c r="M27" i="6" s="1"/>
  <c r="O27" i="6" s="1"/>
  <c r="K26" i="6"/>
  <c r="J26" i="6"/>
  <c r="M26" i="6" s="1"/>
  <c r="O26" i="6" s="1"/>
  <c r="K25" i="6"/>
  <c r="J25" i="6"/>
  <c r="M25" i="6" s="1"/>
  <c r="K24" i="6"/>
  <c r="J24" i="6"/>
  <c r="M24" i="6" s="1"/>
  <c r="O24" i="6" s="1"/>
  <c r="K23" i="6"/>
  <c r="J23" i="6"/>
  <c r="L23" i="6" s="1"/>
  <c r="N23" i="6" s="1"/>
  <c r="K22" i="6"/>
  <c r="J22" i="6"/>
  <c r="M22" i="6" s="1"/>
  <c r="O22" i="6" s="1"/>
  <c r="M21" i="6"/>
  <c r="K21" i="6"/>
  <c r="J21" i="6"/>
  <c r="L21" i="6" s="1"/>
  <c r="M20" i="6"/>
  <c r="L20" i="6"/>
  <c r="K20" i="6"/>
  <c r="J20" i="6"/>
  <c r="K18" i="6"/>
  <c r="J18" i="6"/>
  <c r="K17" i="6"/>
  <c r="J17" i="6"/>
  <c r="M17" i="6" s="1"/>
  <c r="K16" i="6"/>
  <c r="J16" i="6"/>
  <c r="M16" i="6" s="1"/>
  <c r="O16" i="6" s="1"/>
  <c r="K15" i="6"/>
  <c r="J15" i="6"/>
  <c r="M15" i="6" s="1"/>
  <c r="O15" i="6" s="1"/>
  <c r="K14" i="6"/>
  <c r="J14" i="6"/>
  <c r="M14" i="6" s="1"/>
  <c r="O14" i="6" s="1"/>
  <c r="K13" i="6"/>
  <c r="O13" i="6" s="1"/>
  <c r="J13" i="6"/>
  <c r="M13" i="6" s="1"/>
  <c r="K12" i="6"/>
  <c r="J12" i="6"/>
  <c r="L12" i="6" s="1"/>
  <c r="N12" i="6" s="1"/>
  <c r="M11" i="6"/>
  <c r="O11" i="6" s="1"/>
  <c r="L11" i="6"/>
  <c r="K11" i="6"/>
  <c r="J11" i="6"/>
  <c r="K10" i="6"/>
  <c r="J10" i="6"/>
  <c r="M10" i="6" s="1"/>
  <c r="O10" i="6" s="1"/>
  <c r="K9" i="6"/>
  <c r="J9" i="6"/>
  <c r="L9" i="6" s="1"/>
  <c r="K8" i="6"/>
  <c r="J8" i="6"/>
  <c r="M7" i="6"/>
  <c r="O7" i="6" s="1"/>
  <c r="L7" i="6"/>
  <c r="K7" i="6"/>
  <c r="J7" i="6"/>
  <c r="K6" i="6"/>
  <c r="J6" i="6"/>
  <c r="M6" i="6" s="1"/>
  <c r="O6" i="6" s="1"/>
  <c r="L5" i="6"/>
  <c r="N5" i="6" s="1"/>
  <c r="K5" i="6"/>
  <c r="J5" i="6"/>
  <c r="M5" i="6" s="1"/>
  <c r="K4" i="6"/>
  <c r="J4" i="6"/>
  <c r="M4" i="6" s="1"/>
  <c r="K3" i="6"/>
  <c r="J3" i="6"/>
  <c r="M3" i="6" s="1"/>
  <c r="K89" i="5"/>
  <c r="J89" i="5"/>
  <c r="L89" i="5" s="1"/>
  <c r="K88" i="5"/>
  <c r="J88" i="5"/>
  <c r="M88" i="5" s="1"/>
  <c r="K87" i="5"/>
  <c r="J87" i="5"/>
  <c r="L87" i="5" s="1"/>
  <c r="N87" i="5" s="1"/>
  <c r="K86" i="5"/>
  <c r="J86" i="5"/>
  <c r="L86" i="5" s="1"/>
  <c r="K85" i="5"/>
  <c r="J85" i="5"/>
  <c r="K84" i="5"/>
  <c r="J84" i="5"/>
  <c r="M84" i="5" s="1"/>
  <c r="K83" i="5"/>
  <c r="J83" i="5"/>
  <c r="M83" i="5" s="1"/>
  <c r="O83" i="5" s="1"/>
  <c r="K82" i="5"/>
  <c r="J82" i="5"/>
  <c r="M82" i="5" s="1"/>
  <c r="O82" i="5" s="1"/>
  <c r="M81" i="5"/>
  <c r="K81" i="5"/>
  <c r="J81" i="5"/>
  <c r="L81" i="5" s="1"/>
  <c r="K80" i="5"/>
  <c r="J80" i="5"/>
  <c r="M80" i="5" s="1"/>
  <c r="K79" i="5"/>
  <c r="J79" i="5"/>
  <c r="L79" i="5" s="1"/>
  <c r="K78" i="5"/>
  <c r="J78" i="5"/>
  <c r="L78" i="5" s="1"/>
  <c r="K77" i="5"/>
  <c r="J77" i="5"/>
  <c r="L77" i="5" s="1"/>
  <c r="K76" i="5"/>
  <c r="J76" i="5"/>
  <c r="L76" i="5" s="1"/>
  <c r="K75" i="5"/>
  <c r="J75" i="5"/>
  <c r="K74" i="5"/>
  <c r="J74" i="5"/>
  <c r="M74" i="5" s="1"/>
  <c r="K73" i="5"/>
  <c r="J73" i="5"/>
  <c r="M73" i="5" s="1"/>
  <c r="K72" i="5"/>
  <c r="J72" i="5"/>
  <c r="M72" i="5" s="1"/>
  <c r="O72" i="5" s="1"/>
  <c r="K71" i="5"/>
  <c r="J71" i="5"/>
  <c r="M71" i="5" s="1"/>
  <c r="O71" i="5" s="1"/>
  <c r="K70" i="5"/>
  <c r="J70" i="5"/>
  <c r="M70" i="5" s="1"/>
  <c r="K69" i="5"/>
  <c r="J69" i="5"/>
  <c r="L69" i="5" s="1"/>
  <c r="K67" i="5"/>
  <c r="J67" i="5"/>
  <c r="M67" i="5" s="1"/>
  <c r="O67" i="5" s="1"/>
  <c r="K66" i="5"/>
  <c r="J66" i="5"/>
  <c r="M66" i="5" s="1"/>
  <c r="K65" i="5"/>
  <c r="J65" i="5"/>
  <c r="M65" i="5" s="1"/>
  <c r="O65" i="5" s="1"/>
  <c r="K64" i="5"/>
  <c r="J64" i="5"/>
  <c r="K63" i="5"/>
  <c r="J63" i="5"/>
  <c r="L63" i="5" s="1"/>
  <c r="N63" i="5" s="1"/>
  <c r="K62" i="5"/>
  <c r="J62" i="5"/>
  <c r="M62" i="5" s="1"/>
  <c r="O62" i="5" s="1"/>
  <c r="K61" i="5"/>
  <c r="J61" i="5"/>
  <c r="M61" i="5" s="1"/>
  <c r="K60" i="5"/>
  <c r="J60" i="5"/>
  <c r="M60" i="5" s="1"/>
  <c r="O60" i="5" s="1"/>
  <c r="K59" i="5"/>
  <c r="J59" i="5"/>
  <c r="M59" i="5" s="1"/>
  <c r="O59" i="5" s="1"/>
  <c r="K58" i="5"/>
  <c r="J58" i="5"/>
  <c r="L58" i="5" s="1"/>
  <c r="K57" i="5"/>
  <c r="J57" i="5"/>
  <c r="M57" i="5" s="1"/>
  <c r="K56" i="5"/>
  <c r="J56" i="5"/>
  <c r="L56" i="5" s="1"/>
  <c r="N56" i="5" s="1"/>
  <c r="K55" i="5"/>
  <c r="J55" i="5"/>
  <c r="M55" i="5" s="1"/>
  <c r="K54" i="5"/>
  <c r="J54" i="5"/>
  <c r="K53" i="5"/>
  <c r="J53" i="5"/>
  <c r="L53" i="5" s="1"/>
  <c r="K52" i="5"/>
  <c r="J52" i="5"/>
  <c r="M52" i="5" s="1"/>
  <c r="K51" i="5"/>
  <c r="J51" i="5"/>
  <c r="M51" i="5" s="1"/>
  <c r="O51" i="5" s="1"/>
  <c r="K50" i="5"/>
  <c r="J50" i="5"/>
  <c r="M50" i="5" s="1"/>
  <c r="O50" i="5" s="1"/>
  <c r="K49" i="5"/>
  <c r="J49" i="5"/>
  <c r="M49" i="5" s="1"/>
  <c r="O49" i="5" s="1"/>
  <c r="K48" i="5"/>
  <c r="J48" i="5"/>
  <c r="L48" i="5" s="1"/>
  <c r="N48" i="5" s="1"/>
  <c r="K47" i="5"/>
  <c r="J47" i="5"/>
  <c r="M47" i="5" s="1"/>
  <c r="K45" i="5"/>
  <c r="J45" i="5"/>
  <c r="M45" i="5" s="1"/>
  <c r="O45" i="5" s="1"/>
  <c r="K44" i="5"/>
  <c r="J44" i="5"/>
  <c r="L44" i="5" s="1"/>
  <c r="K43" i="5"/>
  <c r="J43" i="5"/>
  <c r="K42" i="5"/>
  <c r="J42" i="5"/>
  <c r="M42" i="5" s="1"/>
  <c r="K41" i="5"/>
  <c r="J41" i="5"/>
  <c r="M41" i="5" s="1"/>
  <c r="O41" i="5" s="1"/>
  <c r="K40" i="5"/>
  <c r="J40" i="5"/>
  <c r="M40" i="5" s="1"/>
  <c r="K39" i="5"/>
  <c r="J39" i="5"/>
  <c r="M39" i="5" s="1"/>
  <c r="K38" i="5"/>
  <c r="J38" i="5"/>
  <c r="M38" i="5" s="1"/>
  <c r="O38" i="5" s="1"/>
  <c r="K37" i="5"/>
  <c r="J37" i="5"/>
  <c r="L37" i="5" s="1"/>
  <c r="K36" i="5"/>
  <c r="J36" i="5"/>
  <c r="M36" i="5" s="1"/>
  <c r="O36" i="5" s="1"/>
  <c r="K35" i="5"/>
  <c r="J35" i="5"/>
  <c r="M35" i="5" s="1"/>
  <c r="O35" i="5" s="1"/>
  <c r="K34" i="5"/>
  <c r="J34" i="5"/>
  <c r="L34" i="5" s="1"/>
  <c r="K33" i="5"/>
  <c r="J33" i="5"/>
  <c r="K32" i="5"/>
  <c r="J32" i="5"/>
  <c r="M32" i="5" s="1"/>
  <c r="O32" i="5" s="1"/>
  <c r="K31" i="5"/>
  <c r="J31" i="5"/>
  <c r="M31" i="5" s="1"/>
  <c r="K30" i="5"/>
  <c r="J30" i="5"/>
  <c r="M29" i="5"/>
  <c r="O29" i="5" s="1"/>
  <c r="K29" i="5"/>
  <c r="J29" i="5"/>
  <c r="L29" i="5" s="1"/>
  <c r="N29" i="5" s="1"/>
  <c r="K28" i="5"/>
  <c r="J28" i="5"/>
  <c r="M28" i="5" s="1"/>
  <c r="O28" i="5" s="1"/>
  <c r="K27" i="5"/>
  <c r="J27" i="5"/>
  <c r="L27" i="5" s="1"/>
  <c r="K26" i="5"/>
  <c r="J26" i="5"/>
  <c r="M26" i="5" s="1"/>
  <c r="O26" i="5" s="1"/>
  <c r="K25" i="5"/>
  <c r="J25" i="5"/>
  <c r="L25" i="5" s="1"/>
  <c r="N25" i="5" s="1"/>
  <c r="K23" i="5"/>
  <c r="J23" i="5"/>
  <c r="M23" i="5" s="1"/>
  <c r="K22" i="5"/>
  <c r="J22" i="5"/>
  <c r="M22" i="5" s="1"/>
  <c r="O22" i="5" s="1"/>
  <c r="K21" i="5"/>
  <c r="J21" i="5"/>
  <c r="M21" i="5" s="1"/>
  <c r="K20" i="5"/>
  <c r="J20" i="5"/>
  <c r="M20" i="5" s="1"/>
  <c r="O20" i="5" s="1"/>
  <c r="K19" i="5"/>
  <c r="J19" i="5"/>
  <c r="K18" i="5"/>
  <c r="J18" i="5"/>
  <c r="M18" i="5" s="1"/>
  <c r="K17" i="5"/>
  <c r="J17" i="5"/>
  <c r="M17" i="5" s="1"/>
  <c r="O17" i="5" s="1"/>
  <c r="K16" i="5"/>
  <c r="J16" i="5"/>
  <c r="L16" i="5" s="1"/>
  <c r="K15" i="5"/>
  <c r="J15" i="5"/>
  <c r="M15" i="5" s="1"/>
  <c r="O15" i="5" s="1"/>
  <c r="K14" i="5"/>
  <c r="J14" i="5"/>
  <c r="M14" i="5" s="1"/>
  <c r="O14" i="5" s="1"/>
  <c r="K13" i="5"/>
  <c r="J13" i="5"/>
  <c r="M13" i="5" s="1"/>
  <c r="K12" i="5"/>
  <c r="J12" i="5"/>
  <c r="M12" i="5" s="1"/>
  <c r="O12" i="5" s="1"/>
  <c r="K11" i="5"/>
  <c r="J11" i="5"/>
  <c r="M11" i="5" s="1"/>
  <c r="O11" i="5" s="1"/>
  <c r="K10" i="5"/>
  <c r="J10" i="5"/>
  <c r="M10" i="5" s="1"/>
  <c r="K9" i="5"/>
  <c r="J9" i="5"/>
  <c r="K8" i="5"/>
  <c r="J8" i="5"/>
  <c r="M8" i="5" s="1"/>
  <c r="K7" i="5"/>
  <c r="J7" i="5"/>
  <c r="M7" i="5" s="1"/>
  <c r="K6" i="5"/>
  <c r="J6" i="5"/>
  <c r="L6" i="5" s="1"/>
  <c r="N6" i="5" s="1"/>
  <c r="K5" i="5"/>
  <c r="J5" i="5"/>
  <c r="M5" i="5" s="1"/>
  <c r="O5" i="5" s="1"/>
  <c r="K4" i="5"/>
  <c r="J4" i="5"/>
  <c r="L4" i="5" s="1"/>
  <c r="K3" i="5"/>
  <c r="J3" i="5"/>
  <c r="L3" i="5" s="1"/>
  <c r="K69" i="4"/>
  <c r="J69" i="4"/>
  <c r="M69" i="4" s="1"/>
  <c r="O69" i="4" s="1"/>
  <c r="K68" i="4"/>
  <c r="J68" i="4"/>
  <c r="M68" i="4" s="1"/>
  <c r="K67" i="4"/>
  <c r="J67" i="4"/>
  <c r="M67" i="4" s="1"/>
  <c r="K66" i="4"/>
  <c r="J66" i="4"/>
  <c r="M66" i="4" s="1"/>
  <c r="K65" i="4"/>
  <c r="J65" i="4"/>
  <c r="L65" i="4" s="1"/>
  <c r="K64" i="4"/>
  <c r="J64" i="4"/>
  <c r="M64" i="4" s="1"/>
  <c r="K63" i="4"/>
  <c r="J63" i="4"/>
  <c r="L63" i="4" s="1"/>
  <c r="N63" i="4" s="1"/>
  <c r="K62" i="4"/>
  <c r="J62" i="4"/>
  <c r="M62" i="4" s="1"/>
  <c r="K61" i="4"/>
  <c r="J61" i="4"/>
  <c r="M61" i="4" s="1"/>
  <c r="K60" i="4"/>
  <c r="J60" i="4"/>
  <c r="M60" i="4" s="1"/>
  <c r="K59" i="4"/>
  <c r="J59" i="4"/>
  <c r="M59" i="4" s="1"/>
  <c r="O59" i="4" s="1"/>
  <c r="K58" i="4"/>
  <c r="J58" i="4"/>
  <c r="M58" i="4" s="1"/>
  <c r="K57" i="4"/>
  <c r="J57" i="4"/>
  <c r="L57" i="4" s="1"/>
  <c r="K56" i="4"/>
  <c r="J56" i="4"/>
  <c r="M56" i="4" s="1"/>
  <c r="K55" i="4"/>
  <c r="J55" i="4"/>
  <c r="L55" i="4" s="1"/>
  <c r="K54" i="4"/>
  <c r="J54" i="4"/>
  <c r="M54" i="4" s="1"/>
  <c r="O54" i="4" s="1"/>
  <c r="K52" i="4"/>
  <c r="J52" i="4"/>
  <c r="L52" i="4" s="1"/>
  <c r="N52" i="4" s="1"/>
  <c r="K51" i="4"/>
  <c r="J51" i="4"/>
  <c r="M51" i="4" s="1"/>
  <c r="O51" i="4" s="1"/>
  <c r="K50" i="4"/>
  <c r="J50" i="4"/>
  <c r="M50" i="4" s="1"/>
  <c r="K49" i="4"/>
  <c r="J49" i="4"/>
  <c r="M49" i="4" s="1"/>
  <c r="K48" i="4"/>
  <c r="J48" i="4"/>
  <c r="M48" i="4" s="1"/>
  <c r="O48" i="4" s="1"/>
  <c r="K47" i="4"/>
  <c r="J47" i="4"/>
  <c r="M47" i="4" s="1"/>
  <c r="O47" i="4" s="1"/>
  <c r="K46" i="4"/>
  <c r="J46" i="4"/>
  <c r="L46" i="4" s="1"/>
  <c r="K45" i="4"/>
  <c r="J45" i="4"/>
  <c r="M45" i="4" s="1"/>
  <c r="O45" i="4" s="1"/>
  <c r="K44" i="4"/>
  <c r="J44" i="4"/>
  <c r="L44" i="4" s="1"/>
  <c r="N44" i="4" s="1"/>
  <c r="K43" i="4"/>
  <c r="J43" i="4"/>
  <c r="M43" i="4" s="1"/>
  <c r="K42" i="4"/>
  <c r="J42" i="4"/>
  <c r="M42" i="4" s="1"/>
  <c r="O42" i="4" s="1"/>
  <c r="K41" i="4"/>
  <c r="J41" i="4"/>
  <c r="M41" i="4" s="1"/>
  <c r="K40" i="4"/>
  <c r="J40" i="4"/>
  <c r="M40" i="4" s="1"/>
  <c r="K39" i="4"/>
  <c r="J39" i="4"/>
  <c r="M39" i="4" s="1"/>
  <c r="K38" i="4"/>
  <c r="J38" i="4"/>
  <c r="M38" i="4" s="1"/>
  <c r="O38" i="4" s="1"/>
  <c r="K37" i="4"/>
  <c r="J37" i="4"/>
  <c r="M37" i="4" s="1"/>
  <c r="O37" i="4" s="1"/>
  <c r="K35" i="4"/>
  <c r="J35" i="4"/>
  <c r="L35" i="4" s="1"/>
  <c r="K34" i="4"/>
  <c r="J34" i="4"/>
  <c r="M34" i="4" s="1"/>
  <c r="K33" i="4"/>
  <c r="J33" i="4"/>
  <c r="L33" i="4" s="1"/>
  <c r="N33" i="4" s="1"/>
  <c r="K32" i="4"/>
  <c r="J32" i="4"/>
  <c r="M32" i="4" s="1"/>
  <c r="K31" i="4"/>
  <c r="J31" i="4"/>
  <c r="L31" i="4" s="1"/>
  <c r="K30" i="4"/>
  <c r="J30" i="4"/>
  <c r="M30" i="4" s="1"/>
  <c r="K29" i="4"/>
  <c r="J29" i="4"/>
  <c r="M29" i="4" s="1"/>
  <c r="O29" i="4" s="1"/>
  <c r="K28" i="4"/>
  <c r="J28" i="4"/>
  <c r="M28" i="4" s="1"/>
  <c r="O28" i="4" s="1"/>
  <c r="K27" i="4"/>
  <c r="J27" i="4"/>
  <c r="M27" i="4" s="1"/>
  <c r="K26" i="4"/>
  <c r="J26" i="4"/>
  <c r="M26" i="4" s="1"/>
  <c r="K25" i="4"/>
  <c r="J25" i="4"/>
  <c r="L25" i="4" s="1"/>
  <c r="K24" i="4"/>
  <c r="J24" i="4"/>
  <c r="M24" i="4" s="1"/>
  <c r="O24" i="4" s="1"/>
  <c r="K23" i="4"/>
  <c r="J23" i="4"/>
  <c r="L23" i="4" s="1"/>
  <c r="K22" i="4"/>
  <c r="J22" i="4"/>
  <c r="M22" i="4" s="1"/>
  <c r="O22" i="4" s="1"/>
  <c r="K21" i="4"/>
  <c r="J21" i="4"/>
  <c r="M21" i="4" s="1"/>
  <c r="K20" i="4"/>
  <c r="J20" i="4"/>
  <c r="M20" i="4" s="1"/>
  <c r="K18" i="4"/>
  <c r="J18" i="4"/>
  <c r="M18" i="4" s="1"/>
  <c r="K17" i="4"/>
  <c r="J17" i="4"/>
  <c r="L17" i="4" s="1"/>
  <c r="K16" i="4"/>
  <c r="J16" i="4"/>
  <c r="M16" i="4" s="1"/>
  <c r="K15" i="4"/>
  <c r="J15" i="4"/>
  <c r="M15" i="4" s="1"/>
  <c r="K14" i="4"/>
  <c r="J14" i="4"/>
  <c r="L14" i="4" s="1"/>
  <c r="K13" i="4"/>
  <c r="J13" i="4"/>
  <c r="M13" i="4" s="1"/>
  <c r="K12" i="4"/>
  <c r="J12" i="4"/>
  <c r="L12" i="4" s="1"/>
  <c r="K11" i="4"/>
  <c r="J11" i="4"/>
  <c r="M11" i="4" s="1"/>
  <c r="O11" i="4" s="1"/>
  <c r="K10" i="4"/>
  <c r="J10" i="4"/>
  <c r="M10" i="4" s="1"/>
  <c r="K9" i="4"/>
  <c r="J9" i="4"/>
  <c r="M9" i="4" s="1"/>
  <c r="K8" i="4"/>
  <c r="J8" i="4"/>
  <c r="M8" i="4" s="1"/>
  <c r="K7" i="4"/>
  <c r="J7" i="4"/>
  <c r="M7" i="4" s="1"/>
  <c r="K6" i="4"/>
  <c r="J6" i="4"/>
  <c r="M6" i="4" s="1"/>
  <c r="K5" i="4"/>
  <c r="J5" i="4"/>
  <c r="M5" i="4" s="1"/>
  <c r="K4" i="4"/>
  <c r="J4" i="4"/>
  <c r="M4" i="4" s="1"/>
  <c r="K3" i="4"/>
  <c r="J3" i="4"/>
  <c r="M3" i="4" s="1"/>
  <c r="O3" i="4" s="1"/>
  <c r="K89" i="3"/>
  <c r="J89" i="3"/>
  <c r="L89" i="3" s="1"/>
  <c r="K88" i="3"/>
  <c r="J88" i="3"/>
  <c r="M88" i="3" s="1"/>
  <c r="O88" i="3" s="1"/>
  <c r="K87" i="3"/>
  <c r="J87" i="3"/>
  <c r="M87" i="3" s="1"/>
  <c r="K86" i="3"/>
  <c r="J86" i="3"/>
  <c r="M86" i="3" s="1"/>
  <c r="K85" i="3"/>
  <c r="J85" i="3"/>
  <c r="L85" i="3" s="1"/>
  <c r="K84" i="3"/>
  <c r="J84" i="3"/>
  <c r="K83" i="3"/>
  <c r="J83" i="3"/>
  <c r="M83" i="3" s="1"/>
  <c r="O83" i="3" s="1"/>
  <c r="K82" i="3"/>
  <c r="J82" i="3"/>
  <c r="M82" i="3" s="1"/>
  <c r="O82" i="3" s="1"/>
  <c r="K81" i="3"/>
  <c r="J81" i="3"/>
  <c r="M81" i="3" s="1"/>
  <c r="K80" i="3"/>
  <c r="J80" i="3"/>
  <c r="M80" i="3" s="1"/>
  <c r="K79" i="3"/>
  <c r="J79" i="3"/>
  <c r="L79" i="3" s="1"/>
  <c r="K78" i="3"/>
  <c r="J78" i="3"/>
  <c r="M78" i="3" s="1"/>
  <c r="O78" i="3" s="1"/>
  <c r="K77" i="3"/>
  <c r="J77" i="3"/>
  <c r="L77" i="3" s="1"/>
  <c r="K76" i="3"/>
  <c r="J76" i="3"/>
  <c r="M76" i="3" s="1"/>
  <c r="O76" i="3" s="1"/>
  <c r="K75" i="3"/>
  <c r="J75" i="3"/>
  <c r="L75" i="3" s="1"/>
  <c r="N75" i="3" s="1"/>
  <c r="K74" i="3"/>
  <c r="J74" i="3"/>
  <c r="K73" i="3"/>
  <c r="J73" i="3"/>
  <c r="M73" i="3" s="1"/>
  <c r="O73" i="3" s="1"/>
  <c r="K72" i="3"/>
  <c r="J72" i="3"/>
  <c r="M72" i="3" s="1"/>
  <c r="O72" i="3" s="1"/>
  <c r="K71" i="3"/>
  <c r="J71" i="3"/>
  <c r="M71" i="3" s="1"/>
  <c r="O71" i="3" s="1"/>
  <c r="K70" i="3"/>
  <c r="J70" i="3"/>
  <c r="M70" i="3" s="1"/>
  <c r="K69" i="3"/>
  <c r="J69" i="3"/>
  <c r="M69" i="3" s="1"/>
  <c r="O69" i="3" s="1"/>
  <c r="K67" i="3"/>
  <c r="J67" i="3"/>
  <c r="M67" i="3" s="1"/>
  <c r="O67" i="3" s="1"/>
  <c r="K66" i="3"/>
  <c r="J66" i="3"/>
  <c r="L66" i="3" s="1"/>
  <c r="K65" i="3"/>
  <c r="J65" i="3"/>
  <c r="M65" i="3" s="1"/>
  <c r="O65" i="3" s="1"/>
  <c r="K64" i="3"/>
  <c r="J64" i="3"/>
  <c r="L64" i="3" s="1"/>
  <c r="K63" i="3"/>
  <c r="J63" i="3"/>
  <c r="K62" i="3"/>
  <c r="J62" i="3"/>
  <c r="L62" i="3" s="1"/>
  <c r="N62" i="3" s="1"/>
  <c r="K61" i="3"/>
  <c r="J61" i="3"/>
  <c r="M61" i="3" s="1"/>
  <c r="O61" i="3" s="1"/>
  <c r="K60" i="3"/>
  <c r="J60" i="3"/>
  <c r="M60" i="3" s="1"/>
  <c r="O60" i="3" s="1"/>
  <c r="K59" i="3"/>
  <c r="J59" i="3"/>
  <c r="M59" i="3" s="1"/>
  <c r="K58" i="3"/>
  <c r="J58" i="3"/>
  <c r="M58" i="3" s="1"/>
  <c r="O58" i="3" s="1"/>
  <c r="K57" i="3"/>
  <c r="J57" i="3"/>
  <c r="M57" i="3" s="1"/>
  <c r="O57" i="3" s="1"/>
  <c r="K56" i="3"/>
  <c r="J56" i="3"/>
  <c r="M56" i="3" s="1"/>
  <c r="K55" i="3"/>
  <c r="J55" i="3"/>
  <c r="M55" i="3" s="1"/>
  <c r="O55" i="3" s="1"/>
  <c r="K54" i="3"/>
  <c r="J54" i="3"/>
  <c r="L54" i="3" s="1"/>
  <c r="K53" i="3"/>
  <c r="J53" i="3"/>
  <c r="M53" i="3" s="1"/>
  <c r="K52" i="3"/>
  <c r="J52" i="3"/>
  <c r="M52" i="3" s="1"/>
  <c r="O52" i="3" s="1"/>
  <c r="K51" i="3"/>
  <c r="J51" i="3"/>
  <c r="M51" i="3" s="1"/>
  <c r="K50" i="3"/>
  <c r="J50" i="3"/>
  <c r="L50" i="3" s="1"/>
  <c r="K49" i="3"/>
  <c r="J49" i="3"/>
  <c r="M49" i="3" s="1"/>
  <c r="O49" i="3" s="1"/>
  <c r="K48" i="3"/>
  <c r="J48" i="3"/>
  <c r="M48" i="3" s="1"/>
  <c r="O48" i="3" s="1"/>
  <c r="K47" i="3"/>
  <c r="J47" i="3"/>
  <c r="M47" i="3" s="1"/>
  <c r="O47" i="3" s="1"/>
  <c r="K45" i="3"/>
  <c r="J45" i="3"/>
  <c r="M45" i="3" s="1"/>
  <c r="O45" i="3" s="1"/>
  <c r="K44" i="3"/>
  <c r="J44" i="3"/>
  <c r="M44" i="3" s="1"/>
  <c r="K43" i="3"/>
  <c r="J43" i="3"/>
  <c r="L43" i="3" s="1"/>
  <c r="N43" i="3" s="1"/>
  <c r="K42" i="3"/>
  <c r="J42" i="3"/>
  <c r="K41" i="3"/>
  <c r="J41" i="3"/>
  <c r="M41" i="3" s="1"/>
  <c r="O41" i="3" s="1"/>
  <c r="K40" i="3"/>
  <c r="J40" i="3"/>
  <c r="M40" i="3" s="1"/>
  <c r="K39" i="3"/>
  <c r="J39" i="3"/>
  <c r="K38" i="3"/>
  <c r="J38" i="3"/>
  <c r="M38" i="3" s="1"/>
  <c r="O38" i="3" s="1"/>
  <c r="K37" i="3"/>
  <c r="J37" i="3"/>
  <c r="L37" i="3" s="1"/>
  <c r="K36" i="3"/>
  <c r="J36" i="3"/>
  <c r="M36" i="3" s="1"/>
  <c r="O36" i="3" s="1"/>
  <c r="K35" i="3"/>
  <c r="J35" i="3"/>
  <c r="M35" i="3" s="1"/>
  <c r="O35" i="3" s="1"/>
  <c r="K34" i="3"/>
  <c r="J34" i="3"/>
  <c r="M34" i="3" s="1"/>
  <c r="K33" i="3"/>
  <c r="J33" i="3"/>
  <c r="L33" i="3" s="1"/>
  <c r="N33" i="3" s="1"/>
  <c r="K32" i="3"/>
  <c r="J32" i="3"/>
  <c r="M32" i="3" s="1"/>
  <c r="O32" i="3" s="1"/>
  <c r="K31" i="3"/>
  <c r="J31" i="3"/>
  <c r="L31" i="3" s="1"/>
  <c r="N31" i="3" s="1"/>
  <c r="K30" i="3"/>
  <c r="J30" i="3"/>
  <c r="L30" i="3" s="1"/>
  <c r="K29" i="3"/>
  <c r="J29" i="3"/>
  <c r="K28" i="3"/>
  <c r="J28" i="3"/>
  <c r="M28" i="3" s="1"/>
  <c r="O28" i="3" s="1"/>
  <c r="K27" i="3"/>
  <c r="J27" i="3"/>
  <c r="M27" i="3" s="1"/>
  <c r="O27" i="3" s="1"/>
  <c r="K26" i="3"/>
  <c r="J26" i="3"/>
  <c r="M26" i="3" s="1"/>
  <c r="K25" i="3"/>
  <c r="J25" i="3"/>
  <c r="L25" i="3" s="1"/>
  <c r="N25" i="3" s="1"/>
  <c r="K23" i="3"/>
  <c r="J23" i="3"/>
  <c r="M23" i="3" s="1"/>
  <c r="O23" i="3" s="1"/>
  <c r="K22" i="3"/>
  <c r="J22" i="3"/>
  <c r="M22" i="3" s="1"/>
  <c r="O22" i="3" s="1"/>
  <c r="K21" i="3"/>
  <c r="J21" i="3"/>
  <c r="M21" i="3" s="1"/>
  <c r="O21" i="3" s="1"/>
  <c r="K20" i="3"/>
  <c r="J20" i="3"/>
  <c r="L20" i="3" s="1"/>
  <c r="K19" i="3"/>
  <c r="J19" i="3"/>
  <c r="L19" i="3" s="1"/>
  <c r="K18" i="3"/>
  <c r="J18" i="3"/>
  <c r="K17" i="3"/>
  <c r="J17" i="3"/>
  <c r="M17" i="3" s="1"/>
  <c r="O17" i="3" s="1"/>
  <c r="K16" i="3"/>
  <c r="J16" i="3"/>
  <c r="M16" i="3" s="1"/>
  <c r="O16" i="3" s="1"/>
  <c r="K15" i="3"/>
  <c r="J15" i="3"/>
  <c r="L15" i="3" s="1"/>
  <c r="K14" i="3"/>
  <c r="J14" i="3"/>
  <c r="M14" i="3" s="1"/>
  <c r="O14" i="3" s="1"/>
  <c r="K13" i="3"/>
  <c r="J13" i="3"/>
  <c r="M13" i="3" s="1"/>
  <c r="O13" i="3" s="1"/>
  <c r="K12" i="3"/>
  <c r="J12" i="3"/>
  <c r="M12" i="3" s="1"/>
  <c r="O12" i="3" s="1"/>
  <c r="K11" i="3"/>
  <c r="J11" i="3"/>
  <c r="M11" i="3" s="1"/>
  <c r="O11" i="3" s="1"/>
  <c r="K10" i="3"/>
  <c r="J10" i="3"/>
  <c r="M10" i="3" s="1"/>
  <c r="O10" i="3" s="1"/>
  <c r="K9" i="3"/>
  <c r="J9" i="3"/>
  <c r="M9" i="3" s="1"/>
  <c r="O9" i="3" s="1"/>
  <c r="K8" i="3"/>
  <c r="J8" i="3"/>
  <c r="K7" i="3"/>
  <c r="J7" i="3"/>
  <c r="M7" i="3" s="1"/>
  <c r="O7" i="3" s="1"/>
  <c r="K6" i="3"/>
  <c r="J6" i="3"/>
  <c r="M6" i="3" s="1"/>
  <c r="O6" i="3" s="1"/>
  <c r="K5" i="3"/>
  <c r="J5" i="3"/>
  <c r="L5" i="3" s="1"/>
  <c r="K4" i="3"/>
  <c r="J4" i="3"/>
  <c r="M4" i="3" s="1"/>
  <c r="K3" i="3"/>
  <c r="J3" i="3"/>
  <c r="M3" i="3" s="1"/>
  <c r="K69" i="2"/>
  <c r="J69" i="2"/>
  <c r="M69" i="2" s="1"/>
  <c r="K68" i="2"/>
  <c r="J68" i="2"/>
  <c r="L68" i="2" s="1"/>
  <c r="N68" i="2" s="1"/>
  <c r="K67" i="2"/>
  <c r="J67" i="2"/>
  <c r="M67" i="2" s="1"/>
  <c r="O67" i="2" s="1"/>
  <c r="K66" i="2"/>
  <c r="J66" i="2"/>
  <c r="K65" i="2"/>
  <c r="J65" i="2"/>
  <c r="L65" i="2" s="1"/>
  <c r="K64" i="2"/>
  <c r="J64" i="2"/>
  <c r="L64" i="2" s="1"/>
  <c r="K63" i="2"/>
  <c r="J63" i="2"/>
  <c r="M63" i="2" s="1"/>
  <c r="K62" i="2"/>
  <c r="J62" i="2"/>
  <c r="L62" i="2" s="1"/>
  <c r="K61" i="2"/>
  <c r="J61" i="2"/>
  <c r="M61" i="2" s="1"/>
  <c r="K60" i="2"/>
  <c r="J60" i="2"/>
  <c r="L60" i="2" s="1"/>
  <c r="K59" i="2"/>
  <c r="J59" i="2"/>
  <c r="L59" i="2" s="1"/>
  <c r="K58" i="2"/>
  <c r="J58" i="2"/>
  <c r="L58" i="2" s="1"/>
  <c r="N58" i="2" s="1"/>
  <c r="K57" i="2"/>
  <c r="J57" i="2"/>
  <c r="L57" i="2" s="1"/>
  <c r="K56" i="2"/>
  <c r="J56" i="2"/>
  <c r="K55" i="2"/>
  <c r="J55" i="2"/>
  <c r="M55" i="2" s="1"/>
  <c r="K54" i="2"/>
  <c r="J54" i="2"/>
  <c r="M54" i="2" s="1"/>
  <c r="O54" i="2" s="1"/>
  <c r="K52" i="2"/>
  <c r="J52" i="2"/>
  <c r="L52" i="2" s="1"/>
  <c r="K51" i="2"/>
  <c r="J51" i="2"/>
  <c r="L51" i="2" s="1"/>
  <c r="K50" i="2"/>
  <c r="J50" i="2"/>
  <c r="K49" i="2"/>
  <c r="J49" i="2"/>
  <c r="L49" i="2" s="1"/>
  <c r="K48" i="2"/>
  <c r="J48" i="2"/>
  <c r="L48" i="2" s="1"/>
  <c r="K47" i="2"/>
  <c r="J47" i="2"/>
  <c r="M47" i="2" s="1"/>
  <c r="O47" i="2" s="1"/>
  <c r="K46" i="2"/>
  <c r="J46" i="2"/>
  <c r="L46" i="2" s="1"/>
  <c r="N46" i="2" s="1"/>
  <c r="K45" i="2"/>
  <c r="J45" i="2"/>
  <c r="M45" i="2" s="1"/>
  <c r="K44" i="2"/>
  <c r="J44" i="2"/>
  <c r="L44" i="2" s="1"/>
  <c r="K43" i="2"/>
  <c r="J43" i="2"/>
  <c r="M43" i="2" s="1"/>
  <c r="K42" i="2"/>
  <c r="J42" i="2"/>
  <c r="M42" i="2" s="1"/>
  <c r="K41" i="2"/>
  <c r="J41" i="2"/>
  <c r="M41" i="2" s="1"/>
  <c r="K40" i="2"/>
  <c r="J40" i="2"/>
  <c r="K39" i="2"/>
  <c r="J39" i="2"/>
  <c r="M39" i="2" s="1"/>
  <c r="O39" i="2" s="1"/>
  <c r="K38" i="2"/>
  <c r="J38" i="2"/>
  <c r="L38" i="2" s="1"/>
  <c r="K37" i="2"/>
  <c r="J37" i="2"/>
  <c r="M37" i="2" s="1"/>
  <c r="K35" i="2"/>
  <c r="J35" i="2"/>
  <c r="M35" i="2" s="1"/>
  <c r="K34" i="2"/>
  <c r="J34" i="2"/>
  <c r="K33" i="2"/>
  <c r="J33" i="2"/>
  <c r="M33" i="2" s="1"/>
  <c r="K32" i="2"/>
  <c r="J32" i="2"/>
  <c r="L32" i="2" s="1"/>
  <c r="K31" i="2"/>
  <c r="J31" i="2"/>
  <c r="M31" i="2" s="1"/>
  <c r="O31" i="2" s="1"/>
  <c r="K30" i="2"/>
  <c r="J30" i="2"/>
  <c r="L30" i="2" s="1"/>
  <c r="K29" i="2"/>
  <c r="J29" i="2"/>
  <c r="M29" i="2" s="1"/>
  <c r="K28" i="2"/>
  <c r="J28" i="2"/>
  <c r="L28" i="2" s="1"/>
  <c r="K27" i="2"/>
  <c r="J27" i="2"/>
  <c r="M27" i="2" s="1"/>
  <c r="K26" i="2"/>
  <c r="J26" i="2"/>
  <c r="M26" i="2" s="1"/>
  <c r="O26" i="2" s="1"/>
  <c r="K25" i="2"/>
  <c r="J25" i="2"/>
  <c r="M25" i="2" s="1"/>
  <c r="K24" i="2"/>
  <c r="J24" i="2"/>
  <c r="K23" i="2"/>
  <c r="J23" i="2"/>
  <c r="L23" i="2" s="1"/>
  <c r="K22" i="2"/>
  <c r="J22" i="2"/>
  <c r="L22" i="2" s="1"/>
  <c r="K21" i="2"/>
  <c r="J21" i="2"/>
  <c r="M21" i="2" s="1"/>
  <c r="O21" i="2" s="1"/>
  <c r="K20" i="2"/>
  <c r="J20" i="2"/>
  <c r="M20" i="2" s="1"/>
  <c r="K18" i="2"/>
  <c r="J18" i="2"/>
  <c r="K17" i="2"/>
  <c r="J17" i="2"/>
  <c r="M17" i="2" s="1"/>
  <c r="K16" i="2"/>
  <c r="J16" i="2"/>
  <c r="M16" i="2" s="1"/>
  <c r="K15" i="2"/>
  <c r="J15" i="2"/>
  <c r="M15" i="2" s="1"/>
  <c r="K14" i="2"/>
  <c r="J14" i="2"/>
  <c r="L14" i="2" s="1"/>
  <c r="K13" i="2"/>
  <c r="J13" i="2"/>
  <c r="M13" i="2" s="1"/>
  <c r="K12" i="2"/>
  <c r="J12" i="2"/>
  <c r="L12" i="2" s="1"/>
  <c r="N12" i="2" s="1"/>
  <c r="K11" i="2"/>
  <c r="J11" i="2"/>
  <c r="M11" i="2" s="1"/>
  <c r="K10" i="2"/>
  <c r="J10" i="2"/>
  <c r="M10" i="2" s="1"/>
  <c r="O10" i="2" s="1"/>
  <c r="K9" i="2"/>
  <c r="J9" i="2"/>
  <c r="M9" i="2" s="1"/>
  <c r="K8" i="2"/>
  <c r="J8" i="2"/>
  <c r="K7" i="2"/>
  <c r="J7" i="2"/>
  <c r="L7" i="2" s="1"/>
  <c r="K6" i="2"/>
  <c r="J6" i="2"/>
  <c r="M6" i="2" s="1"/>
  <c r="K5" i="2"/>
  <c r="J5" i="2"/>
  <c r="M5" i="2" s="1"/>
  <c r="O5" i="2" s="1"/>
  <c r="K4" i="2"/>
  <c r="J4" i="2"/>
  <c r="M4" i="2" s="1"/>
  <c r="O4" i="2" s="1"/>
  <c r="K3" i="2"/>
  <c r="J3" i="2"/>
  <c r="M3" i="2" s="1"/>
  <c r="K14" i="1"/>
  <c r="J69" i="1"/>
  <c r="M69" i="1" s="1"/>
  <c r="K69" i="1"/>
  <c r="L69" i="1"/>
  <c r="N69" i="1" s="1"/>
  <c r="J47" i="1"/>
  <c r="L47" i="1" s="1"/>
  <c r="K47" i="1"/>
  <c r="J3" i="1"/>
  <c r="M3" i="1" s="1"/>
  <c r="K3" i="1"/>
  <c r="J19" i="1"/>
  <c r="L19" i="1" s="1"/>
  <c r="K19" i="1"/>
  <c r="J20" i="1"/>
  <c r="L20" i="1" s="1"/>
  <c r="K20" i="1"/>
  <c r="J21" i="1"/>
  <c r="L21" i="1" s="1"/>
  <c r="K21" i="1"/>
  <c r="J22" i="1"/>
  <c r="L22" i="1" s="1"/>
  <c r="K22" i="1"/>
  <c r="J23" i="1"/>
  <c r="M23" i="1" s="1"/>
  <c r="K23" i="1"/>
  <c r="J85" i="1"/>
  <c r="L85" i="1" s="1"/>
  <c r="K85" i="1"/>
  <c r="J86" i="1"/>
  <c r="L86" i="1" s="1"/>
  <c r="K86" i="1"/>
  <c r="J87" i="1"/>
  <c r="L87" i="1" s="1"/>
  <c r="K87" i="1"/>
  <c r="J88" i="1"/>
  <c r="M88" i="1" s="1"/>
  <c r="K88" i="1"/>
  <c r="J89" i="1"/>
  <c r="L89" i="1" s="1"/>
  <c r="K89" i="1"/>
  <c r="J63" i="1"/>
  <c r="L63" i="1" s="1"/>
  <c r="K63" i="1"/>
  <c r="J64" i="1"/>
  <c r="M64" i="1" s="1"/>
  <c r="K64" i="1"/>
  <c r="J65" i="1"/>
  <c r="L65" i="1" s="1"/>
  <c r="K65" i="1"/>
  <c r="J66" i="1"/>
  <c r="L66" i="1" s="1"/>
  <c r="K66" i="1"/>
  <c r="J67" i="1"/>
  <c r="L67" i="1" s="1"/>
  <c r="K67" i="1"/>
  <c r="J41" i="1"/>
  <c r="L41" i="1" s="1"/>
  <c r="K41" i="1"/>
  <c r="J42" i="1"/>
  <c r="L42" i="1" s="1"/>
  <c r="K42" i="1"/>
  <c r="J43" i="1"/>
  <c r="L43" i="1" s="1"/>
  <c r="K43" i="1"/>
  <c r="J44" i="1"/>
  <c r="L44" i="1" s="1"/>
  <c r="K44" i="1"/>
  <c r="J45" i="1"/>
  <c r="L45" i="1" s="1"/>
  <c r="K45" i="1"/>
  <c r="J48" i="1"/>
  <c r="L48" i="1" s="1"/>
  <c r="K48" i="1"/>
  <c r="J49" i="1"/>
  <c r="L49" i="1" s="1"/>
  <c r="K49" i="1"/>
  <c r="J50" i="1"/>
  <c r="L50" i="1" s="1"/>
  <c r="K50" i="1"/>
  <c r="J51" i="1"/>
  <c r="L51" i="1" s="1"/>
  <c r="K51" i="1"/>
  <c r="J52" i="1"/>
  <c r="L52" i="1" s="1"/>
  <c r="K52" i="1"/>
  <c r="J53" i="1"/>
  <c r="L53" i="1" s="1"/>
  <c r="K53" i="1"/>
  <c r="J54" i="1"/>
  <c r="L54" i="1" s="1"/>
  <c r="K54" i="1"/>
  <c r="J55" i="1"/>
  <c r="L55" i="1" s="1"/>
  <c r="K55" i="1"/>
  <c r="J56" i="1"/>
  <c r="L56" i="1" s="1"/>
  <c r="K56" i="1"/>
  <c r="J57" i="1"/>
  <c r="L57" i="1" s="1"/>
  <c r="K57" i="1"/>
  <c r="J58" i="1"/>
  <c r="L58" i="1" s="1"/>
  <c r="K58" i="1"/>
  <c r="J59" i="1"/>
  <c r="L59" i="1" s="1"/>
  <c r="K59" i="1"/>
  <c r="J60" i="1"/>
  <c r="L60" i="1" s="1"/>
  <c r="K60" i="1"/>
  <c r="J61" i="1"/>
  <c r="K61" i="1"/>
  <c r="J62" i="1"/>
  <c r="M62" i="1" s="1"/>
  <c r="K62" i="1"/>
  <c r="J25" i="1"/>
  <c r="J26" i="1"/>
  <c r="L26" i="1" s="1"/>
  <c r="J27" i="1"/>
  <c r="L27" i="1" s="1"/>
  <c r="J28" i="1"/>
  <c r="L28" i="1" s="1"/>
  <c r="J29" i="1"/>
  <c r="M29" i="1" s="1"/>
  <c r="J30" i="1"/>
  <c r="L30" i="1" s="1"/>
  <c r="J31" i="1"/>
  <c r="L31" i="1" s="1"/>
  <c r="J32" i="1"/>
  <c r="L32" i="1" s="1"/>
  <c r="J33" i="1"/>
  <c r="M33" i="1" s="1"/>
  <c r="J34" i="1"/>
  <c r="M34" i="1" s="1"/>
  <c r="J35" i="1"/>
  <c r="M35" i="1" s="1"/>
  <c r="J36" i="1"/>
  <c r="M36" i="1" s="1"/>
  <c r="J37" i="1"/>
  <c r="L37" i="1" s="1"/>
  <c r="J38" i="1"/>
  <c r="L38" i="1" s="1"/>
  <c r="J39" i="1"/>
  <c r="L39" i="1" s="1"/>
  <c r="J40" i="1"/>
  <c r="L40" i="1" s="1"/>
  <c r="J70" i="1"/>
  <c r="M70" i="1" s="1"/>
  <c r="J71" i="1"/>
  <c r="L71" i="1" s="1"/>
  <c r="J72" i="1"/>
  <c r="M72" i="1" s="1"/>
  <c r="J73" i="1"/>
  <c r="M73" i="1" s="1"/>
  <c r="J74" i="1"/>
  <c r="L74" i="1" s="1"/>
  <c r="J75" i="1"/>
  <c r="M75" i="1" s="1"/>
  <c r="J76" i="1"/>
  <c r="L76" i="1" s="1"/>
  <c r="J77" i="1"/>
  <c r="L77" i="1" s="1"/>
  <c r="J78" i="1"/>
  <c r="L78" i="1" s="1"/>
  <c r="J79" i="1"/>
  <c r="L79" i="1" s="1"/>
  <c r="J80" i="1"/>
  <c r="L80" i="1" s="1"/>
  <c r="J81" i="1"/>
  <c r="L81" i="1" s="1"/>
  <c r="J82" i="1"/>
  <c r="L82" i="1" s="1"/>
  <c r="J83" i="1"/>
  <c r="L83" i="1" s="1"/>
  <c r="J84" i="1"/>
  <c r="L84" i="1" s="1"/>
  <c r="J4" i="1"/>
  <c r="M4" i="1" s="1"/>
  <c r="J5" i="1"/>
  <c r="M5" i="1" s="1"/>
  <c r="J6" i="1"/>
  <c r="L6" i="1" s="1"/>
  <c r="J7" i="1"/>
  <c r="L7" i="1" s="1"/>
  <c r="J8" i="1"/>
  <c r="L8" i="1" s="1"/>
  <c r="J9" i="1"/>
  <c r="L9" i="1" s="1"/>
  <c r="J10" i="1"/>
  <c r="L10" i="1" s="1"/>
  <c r="J11" i="1"/>
  <c r="L11" i="1" s="1"/>
  <c r="J12" i="1"/>
  <c r="L12" i="1" s="1"/>
  <c r="J13" i="1"/>
  <c r="L13" i="1" s="1"/>
  <c r="J14" i="1"/>
  <c r="M14" i="1" s="1"/>
  <c r="J15" i="1"/>
  <c r="M15" i="1" s="1"/>
  <c r="J16" i="1"/>
  <c r="M16" i="1" s="1"/>
  <c r="J17" i="1"/>
  <c r="L17" i="1" s="1"/>
  <c r="J18" i="1"/>
  <c r="L18" i="1" s="1"/>
  <c r="K40" i="1"/>
  <c r="K70" i="1"/>
  <c r="K71" i="1"/>
  <c r="K72" i="1"/>
  <c r="K73" i="1"/>
  <c r="K74" i="1"/>
  <c r="K75" i="1"/>
  <c r="K76" i="1"/>
  <c r="K77" i="1"/>
  <c r="K78" i="1"/>
  <c r="K79" i="1"/>
  <c r="K80" i="1"/>
  <c r="K81" i="1"/>
  <c r="K82" i="1"/>
  <c r="K83" i="1"/>
  <c r="K84" i="1"/>
  <c r="K4" i="1"/>
  <c r="K5" i="1"/>
  <c r="K6" i="1"/>
  <c r="K7" i="1"/>
  <c r="K8" i="1"/>
  <c r="K9" i="1"/>
  <c r="K10" i="1"/>
  <c r="K11" i="1"/>
  <c r="K12" i="1"/>
  <c r="K13" i="1"/>
  <c r="K15" i="1"/>
  <c r="K16" i="1"/>
  <c r="K17" i="1"/>
  <c r="K18" i="1"/>
  <c r="K32" i="1"/>
  <c r="K33" i="1"/>
  <c r="K34" i="1"/>
  <c r="K35" i="1"/>
  <c r="K36" i="1"/>
  <c r="K37" i="1"/>
  <c r="K38" i="1"/>
  <c r="K39" i="1"/>
  <c r="K25" i="1"/>
  <c r="K26" i="1"/>
  <c r="K27" i="1"/>
  <c r="K28" i="1"/>
  <c r="K29" i="1"/>
  <c r="K30" i="1"/>
  <c r="K31" i="1"/>
  <c r="L82" i="15" l="1"/>
  <c r="N82" i="15" s="1"/>
  <c r="L76" i="15"/>
  <c r="N76" i="15" s="1"/>
  <c r="L70" i="15"/>
  <c r="N70" i="15" s="1"/>
  <c r="O77" i="15"/>
  <c r="O84" i="15"/>
  <c r="O78" i="15"/>
  <c r="O85" i="15"/>
  <c r="O79" i="15"/>
  <c r="O86" i="15"/>
  <c r="O52" i="15"/>
  <c r="O59" i="15"/>
  <c r="O66" i="15"/>
  <c r="M53" i="15"/>
  <c r="O53" i="15" s="1"/>
  <c r="O60" i="15"/>
  <c r="O48" i="15"/>
  <c r="O54" i="15"/>
  <c r="N49" i="15"/>
  <c r="L49" i="15"/>
  <c r="L55" i="15"/>
  <c r="N55" i="15" s="1"/>
  <c r="N60" i="15"/>
  <c r="O56" i="15"/>
  <c r="N63" i="15"/>
  <c r="O57" i="15"/>
  <c r="M63" i="15"/>
  <c r="O63" i="15" s="1"/>
  <c r="L50" i="15"/>
  <c r="N50" i="15" s="1"/>
  <c r="O65" i="15"/>
  <c r="L65" i="15"/>
  <c r="N65" i="15" s="1"/>
  <c r="O8" i="15"/>
  <c r="O9" i="15"/>
  <c r="O12" i="15"/>
  <c r="O22" i="15"/>
  <c r="N9" i="15"/>
  <c r="M28" i="15"/>
  <c r="O28" i="15" s="1"/>
  <c r="N38" i="15"/>
  <c r="M30" i="15"/>
  <c r="O30" i="15" s="1"/>
  <c r="L44" i="15"/>
  <c r="N44" i="15" s="1"/>
  <c r="O25" i="15"/>
  <c r="O26" i="15"/>
  <c r="L40" i="15"/>
  <c r="N40" i="15" s="1"/>
  <c r="L39" i="15"/>
  <c r="N39" i="15" s="1"/>
  <c r="N28" i="15"/>
  <c r="O38" i="15"/>
  <c r="M32" i="15"/>
  <c r="O32" i="15" s="1"/>
  <c r="L34" i="15"/>
  <c r="N34" i="15" s="1"/>
  <c r="M42" i="15"/>
  <c r="O42" i="15" s="1"/>
  <c r="L29" i="15"/>
  <c r="N29" i="15" s="1"/>
  <c r="O44" i="15"/>
  <c r="O23" i="15"/>
  <c r="L17" i="15"/>
  <c r="N17" i="15" s="1"/>
  <c r="L23" i="15"/>
  <c r="N23" i="15" s="1"/>
  <c r="L3" i="15"/>
  <c r="N3" i="15" s="1"/>
  <c r="O4" i="15"/>
  <c r="N11" i="15"/>
  <c r="L18" i="15"/>
  <c r="N18" i="15" s="1"/>
  <c r="O5" i="15"/>
  <c r="M11" i="15"/>
  <c r="O11" i="15" s="1"/>
  <c r="L19" i="15"/>
  <c r="N19" i="15" s="1"/>
  <c r="L7" i="15"/>
  <c r="N7" i="15" s="1"/>
  <c r="L13" i="15"/>
  <c r="N13" i="15" s="1"/>
  <c r="N21" i="15"/>
  <c r="M21" i="15"/>
  <c r="O21" i="15" s="1"/>
  <c r="L8" i="15"/>
  <c r="N8" i="15" s="1"/>
  <c r="N48" i="15"/>
  <c r="N56" i="15"/>
  <c r="N35" i="15"/>
  <c r="L10" i="15"/>
  <c r="N10" i="15" s="1"/>
  <c r="L20" i="15"/>
  <c r="N20" i="15" s="1"/>
  <c r="L31" i="15"/>
  <c r="N31" i="15" s="1"/>
  <c r="L41" i="15"/>
  <c r="N41" i="15" s="1"/>
  <c r="L52" i="15"/>
  <c r="N52" i="15" s="1"/>
  <c r="L62" i="15"/>
  <c r="N62" i="15" s="1"/>
  <c r="L73" i="15"/>
  <c r="N73" i="15" s="1"/>
  <c r="L83" i="15"/>
  <c r="N83" i="15" s="1"/>
  <c r="L4" i="15"/>
  <c r="N4" i="15" s="1"/>
  <c r="L14" i="15"/>
  <c r="N14" i="15" s="1"/>
  <c r="L25" i="15"/>
  <c r="N25" i="15" s="1"/>
  <c r="L35" i="15"/>
  <c r="L45" i="15"/>
  <c r="N45" i="15" s="1"/>
  <c r="L56" i="15"/>
  <c r="L66" i="15"/>
  <c r="N66" i="15" s="1"/>
  <c r="L77" i="15"/>
  <c r="N77" i="15" s="1"/>
  <c r="L87" i="15"/>
  <c r="N87" i="15" s="1"/>
  <c r="L74" i="15"/>
  <c r="N74" i="15" s="1"/>
  <c r="L84" i="15"/>
  <c r="N84" i="15" s="1"/>
  <c r="L88" i="15"/>
  <c r="N88" i="15" s="1"/>
  <c r="L5" i="15"/>
  <c r="N5" i="15" s="1"/>
  <c r="L15" i="15"/>
  <c r="N15" i="15" s="1"/>
  <c r="L26" i="15"/>
  <c r="N26" i="15" s="1"/>
  <c r="L36" i="15"/>
  <c r="N36" i="15" s="1"/>
  <c r="L47" i="15"/>
  <c r="N47" i="15" s="1"/>
  <c r="L57" i="15"/>
  <c r="N57" i="15" s="1"/>
  <c r="L67" i="15"/>
  <c r="N67" i="15" s="1"/>
  <c r="L12" i="15"/>
  <c r="N12" i="15" s="1"/>
  <c r="L22" i="15"/>
  <c r="N22" i="15" s="1"/>
  <c r="L33" i="15"/>
  <c r="N33" i="15" s="1"/>
  <c r="L43" i="15"/>
  <c r="N43" i="15" s="1"/>
  <c r="L54" i="15"/>
  <c r="N54" i="15" s="1"/>
  <c r="L64" i="15"/>
  <c r="N64" i="15" s="1"/>
  <c r="L75" i="15"/>
  <c r="N75" i="15" s="1"/>
  <c r="L85" i="15"/>
  <c r="N85" i="15" s="1"/>
  <c r="L78" i="15"/>
  <c r="N78" i="15" s="1"/>
  <c r="L89" i="15"/>
  <c r="N89" i="15" s="1"/>
  <c r="L6" i="15"/>
  <c r="N6" i="15" s="1"/>
  <c r="L16" i="15"/>
  <c r="N16" i="15" s="1"/>
  <c r="L27" i="15"/>
  <c r="N27" i="15" s="1"/>
  <c r="L37" i="15"/>
  <c r="N37" i="15" s="1"/>
  <c r="L48" i="15"/>
  <c r="L58" i="15"/>
  <c r="N58" i="15" s="1"/>
  <c r="L69" i="15"/>
  <c r="N69" i="15" s="1"/>
  <c r="L79" i="15"/>
  <c r="N79" i="15" s="1"/>
  <c r="L86" i="15"/>
  <c r="N86" i="15" s="1"/>
  <c r="N8" i="14"/>
  <c r="O8" i="14"/>
  <c r="L7" i="14"/>
  <c r="N7" i="14" s="1"/>
  <c r="O7" i="14"/>
  <c r="M9" i="14"/>
  <c r="O9" i="14" s="1"/>
  <c r="M5" i="14"/>
  <c r="O5" i="14" s="1"/>
  <c r="M4" i="14"/>
  <c r="O4" i="14" s="1"/>
  <c r="O83" i="13"/>
  <c r="N81" i="13"/>
  <c r="M81" i="13"/>
  <c r="O77" i="13"/>
  <c r="O70" i="13"/>
  <c r="N80" i="13"/>
  <c r="O64" i="13"/>
  <c r="O47" i="13"/>
  <c r="O57" i="13"/>
  <c r="L51" i="13"/>
  <c r="M60" i="13"/>
  <c r="O60" i="13" s="1"/>
  <c r="N3" i="13"/>
  <c r="L17" i="13"/>
  <c r="N17" i="13" s="1"/>
  <c r="L4" i="13"/>
  <c r="N5" i="13"/>
  <c r="O12" i="13"/>
  <c r="M3" i="13"/>
  <c r="O3" i="13" s="1"/>
  <c r="N4" i="13"/>
  <c r="N13" i="13"/>
  <c r="M13" i="13"/>
  <c r="O13" i="13" s="1"/>
  <c r="L19" i="13"/>
  <c r="N19" i="13" s="1"/>
  <c r="O14" i="13"/>
  <c r="N23" i="13"/>
  <c r="L9" i="13"/>
  <c r="N9" i="13" s="1"/>
  <c r="N14" i="13"/>
  <c r="O20" i="13"/>
  <c r="L15" i="13"/>
  <c r="N15" i="13" s="1"/>
  <c r="M23" i="13"/>
  <c r="O23" i="13" s="1"/>
  <c r="M8" i="13"/>
  <c r="O8" i="13" s="1"/>
  <c r="N28" i="13"/>
  <c r="N26" i="13"/>
  <c r="M26" i="13"/>
  <c r="L28" i="13"/>
  <c r="M29" i="13"/>
  <c r="O29" i="13" s="1"/>
  <c r="N38" i="13"/>
  <c r="O38" i="13"/>
  <c r="L36" i="13"/>
  <c r="O25" i="13"/>
  <c r="N78" i="13"/>
  <c r="N71" i="13"/>
  <c r="L78" i="13"/>
  <c r="O85" i="13"/>
  <c r="O79" i="13"/>
  <c r="O86" i="13"/>
  <c r="L82" i="13"/>
  <c r="L70" i="13"/>
  <c r="N70" i="13" s="1"/>
  <c r="L72" i="13"/>
  <c r="N72" i="13" s="1"/>
  <c r="M71" i="13"/>
  <c r="O71" i="13" s="1"/>
  <c r="O73" i="13"/>
  <c r="O88" i="13"/>
  <c r="N82" i="13"/>
  <c r="O81" i="13"/>
  <c r="L77" i="13"/>
  <c r="N77" i="13" s="1"/>
  <c r="O74" i="13"/>
  <c r="O89" i="13"/>
  <c r="M76" i="13"/>
  <c r="O76" i="13" s="1"/>
  <c r="M55" i="13"/>
  <c r="O55" i="13" s="1"/>
  <c r="L61" i="13"/>
  <c r="N61" i="13" s="1"/>
  <c r="L49" i="13"/>
  <c r="N49" i="13" s="1"/>
  <c r="O56" i="13"/>
  <c r="M50" i="13"/>
  <c r="O50" i="13" s="1"/>
  <c r="L57" i="13"/>
  <c r="N57" i="13" s="1"/>
  <c r="N51" i="13"/>
  <c r="O58" i="13"/>
  <c r="M65" i="13"/>
  <c r="O65" i="13" s="1"/>
  <c r="O52" i="13"/>
  <c r="L59" i="13"/>
  <c r="N59" i="13" s="1"/>
  <c r="O66" i="13"/>
  <c r="L66" i="13"/>
  <c r="N66" i="13" s="1"/>
  <c r="L47" i="13"/>
  <c r="N47" i="13" s="1"/>
  <c r="O54" i="13"/>
  <c r="N67" i="13"/>
  <c r="M34" i="13"/>
  <c r="O34" i="13" s="1"/>
  <c r="L40" i="13"/>
  <c r="N40" i="13" s="1"/>
  <c r="N34" i="13"/>
  <c r="O35" i="13"/>
  <c r="L35" i="13"/>
  <c r="N35" i="13" s="1"/>
  <c r="O41" i="13"/>
  <c r="N36" i="13"/>
  <c r="O42" i="13"/>
  <c r="L30" i="13"/>
  <c r="N30" i="13" s="1"/>
  <c r="M44" i="13"/>
  <c r="O44" i="13" s="1"/>
  <c r="N25" i="13"/>
  <c r="O31" i="13"/>
  <c r="O45" i="13"/>
  <c r="O32" i="13"/>
  <c r="L45" i="13"/>
  <c r="N45" i="13" s="1"/>
  <c r="O26" i="13"/>
  <c r="M39" i="13"/>
  <c r="O39" i="13" s="1"/>
  <c r="N55" i="13"/>
  <c r="N76" i="13"/>
  <c r="N20" i="13"/>
  <c r="N50" i="13"/>
  <c r="N84" i="13"/>
  <c r="N44" i="13"/>
  <c r="N64" i="13"/>
  <c r="N65" i="13"/>
  <c r="N52" i="13"/>
  <c r="N8" i="13"/>
  <c r="N18" i="13"/>
  <c r="N39" i="13"/>
  <c r="N29" i="13"/>
  <c r="N60" i="13"/>
  <c r="N74" i="13"/>
  <c r="L10" i="13"/>
  <c r="N10" i="13" s="1"/>
  <c r="L20" i="13"/>
  <c r="L31" i="13"/>
  <c r="N31" i="13" s="1"/>
  <c r="L41" i="13"/>
  <c r="N41" i="13" s="1"/>
  <c r="L52" i="13"/>
  <c r="L62" i="13"/>
  <c r="N62" i="13" s="1"/>
  <c r="L73" i="13"/>
  <c r="N73" i="13" s="1"/>
  <c r="L83" i="13"/>
  <c r="N83" i="13" s="1"/>
  <c r="L87" i="13"/>
  <c r="N87" i="13" s="1"/>
  <c r="L11" i="13"/>
  <c r="N11" i="13" s="1"/>
  <c r="L21" i="13"/>
  <c r="N21" i="13" s="1"/>
  <c r="L32" i="13"/>
  <c r="N32" i="13" s="1"/>
  <c r="L42" i="13"/>
  <c r="N42" i="13" s="1"/>
  <c r="L53" i="13"/>
  <c r="N53" i="13" s="1"/>
  <c r="L63" i="13"/>
  <c r="N63" i="13" s="1"/>
  <c r="L74" i="13"/>
  <c r="L84" i="13"/>
  <c r="L88" i="13"/>
  <c r="N88" i="13" s="1"/>
  <c r="L12" i="13"/>
  <c r="N12" i="13" s="1"/>
  <c r="L22" i="13"/>
  <c r="N22" i="13" s="1"/>
  <c r="L33" i="13"/>
  <c r="N33" i="13" s="1"/>
  <c r="L43" i="13"/>
  <c r="N43" i="13" s="1"/>
  <c r="L54" i="13"/>
  <c r="N54" i="13" s="1"/>
  <c r="L64" i="13"/>
  <c r="L75" i="13"/>
  <c r="N75" i="13" s="1"/>
  <c r="L85" i="13"/>
  <c r="N85" i="13" s="1"/>
  <c r="L6" i="13"/>
  <c r="N6" i="13" s="1"/>
  <c r="L16" i="13"/>
  <c r="N16" i="13" s="1"/>
  <c r="L27" i="13"/>
  <c r="N27" i="13" s="1"/>
  <c r="L37" i="13"/>
  <c r="N37" i="13" s="1"/>
  <c r="L48" i="13"/>
  <c r="N48" i="13" s="1"/>
  <c r="L58" i="13"/>
  <c r="N58" i="13" s="1"/>
  <c r="L69" i="13"/>
  <c r="N69" i="13" s="1"/>
  <c r="L79" i="13"/>
  <c r="N79" i="13" s="1"/>
  <c r="L89" i="13"/>
  <c r="N89" i="13" s="1"/>
  <c r="L86" i="13"/>
  <c r="N86" i="13" s="1"/>
  <c r="N89" i="7"/>
  <c r="L80" i="7"/>
  <c r="O83" i="7"/>
  <c r="O76" i="7"/>
  <c r="O77" i="7"/>
  <c r="N87" i="7"/>
  <c r="L65" i="7"/>
  <c r="N65" i="7" s="1"/>
  <c r="N48" i="7"/>
  <c r="N58" i="7"/>
  <c r="O36" i="7"/>
  <c r="O7" i="7"/>
  <c r="O10" i="7"/>
  <c r="L4" i="7"/>
  <c r="N16" i="7"/>
  <c r="M76" i="5"/>
  <c r="O70" i="5"/>
  <c r="O73" i="5"/>
  <c r="O81" i="5"/>
  <c r="L74" i="5"/>
  <c r="N74" i="5"/>
  <c r="O84" i="5"/>
  <c r="M48" i="5"/>
  <c r="O48" i="5" s="1"/>
  <c r="M63" i="5"/>
  <c r="O63" i="5" s="1"/>
  <c r="O55" i="5"/>
  <c r="O39" i="5"/>
  <c r="L32" i="5"/>
  <c r="O42" i="5"/>
  <c r="L42" i="5"/>
  <c r="L45" i="5"/>
  <c r="N45" i="5" s="1"/>
  <c r="M37" i="5"/>
  <c r="O37" i="5" s="1"/>
  <c r="O7" i="5"/>
  <c r="O8" i="5"/>
  <c r="O20" i="7"/>
  <c r="O22" i="7"/>
  <c r="M13" i="7"/>
  <c r="O13" i="7" s="1"/>
  <c r="O14" i="7"/>
  <c r="O17" i="7"/>
  <c r="O43" i="7"/>
  <c r="O47" i="7"/>
  <c r="N50" i="7"/>
  <c r="O49" i="7"/>
  <c r="O59" i="7"/>
  <c r="O31" i="7"/>
  <c r="O38" i="7"/>
  <c r="O56" i="3"/>
  <c r="O26" i="3"/>
  <c r="N20" i="3"/>
  <c r="O61" i="8"/>
  <c r="L63" i="8"/>
  <c r="O64" i="8"/>
  <c r="M47" i="8"/>
  <c r="O47" i="8" s="1"/>
  <c r="O48" i="8"/>
  <c r="O49" i="8"/>
  <c r="O41" i="8"/>
  <c r="O42" i="8"/>
  <c r="O45" i="8"/>
  <c r="O24" i="8"/>
  <c r="O34" i="8"/>
  <c r="O6" i="8"/>
  <c r="N14" i="8"/>
  <c r="M15" i="8"/>
  <c r="O15" i="8" s="1"/>
  <c r="O9" i="8"/>
  <c r="O17" i="8"/>
  <c r="L10" i="8"/>
  <c r="O3" i="8"/>
  <c r="N12" i="8"/>
  <c r="M12" i="8"/>
  <c r="O12" i="8" s="1"/>
  <c r="N5" i="8"/>
  <c r="L13" i="8"/>
  <c r="N13" i="8" s="1"/>
  <c r="O54" i="6"/>
  <c r="M64" i="6"/>
  <c r="O64" i="6" s="1"/>
  <c r="N65" i="6"/>
  <c r="O66" i="6"/>
  <c r="O58" i="6"/>
  <c r="O59" i="6"/>
  <c r="N42" i="6"/>
  <c r="N52" i="6"/>
  <c r="N44" i="6"/>
  <c r="O45" i="6"/>
  <c r="L43" i="6"/>
  <c r="M52" i="6"/>
  <c r="O52" i="6" s="1"/>
  <c r="O49" i="6"/>
  <c r="L22" i="6"/>
  <c r="O25" i="6"/>
  <c r="M33" i="6"/>
  <c r="L26" i="6"/>
  <c r="N26" i="6" s="1"/>
  <c r="N21" i="6"/>
  <c r="O21" i="6"/>
  <c r="O4" i="6"/>
  <c r="N55" i="4"/>
  <c r="N65" i="4"/>
  <c r="O56" i="4"/>
  <c r="O66" i="4"/>
  <c r="O58" i="4"/>
  <c r="O68" i="4"/>
  <c r="O60" i="4"/>
  <c r="O39" i="4"/>
  <c r="O40" i="4"/>
  <c r="O50" i="4"/>
  <c r="M52" i="4"/>
  <c r="O52" i="4" s="1"/>
  <c r="O21" i="4"/>
  <c r="M23" i="4"/>
  <c r="N31" i="4"/>
  <c r="O32" i="4"/>
  <c r="O6" i="4"/>
  <c r="O4" i="4"/>
  <c r="O7" i="4"/>
  <c r="O61" i="12"/>
  <c r="L54" i="12"/>
  <c r="N54" i="12" s="1"/>
  <c r="O55" i="12"/>
  <c r="O64" i="12"/>
  <c r="O66" i="12"/>
  <c r="M57" i="12"/>
  <c r="O57" i="12" s="1"/>
  <c r="M58" i="12"/>
  <c r="O58" i="12" s="1"/>
  <c r="N69" i="12"/>
  <c r="M59" i="12"/>
  <c r="O59" i="12" s="1"/>
  <c r="M45" i="12"/>
  <c r="O45" i="12" s="1"/>
  <c r="M40" i="12"/>
  <c r="O40" i="12" s="1"/>
  <c r="O43" i="12"/>
  <c r="M50" i="12"/>
  <c r="O50" i="12" s="1"/>
  <c r="M29" i="12"/>
  <c r="O29" i="12" s="1"/>
  <c r="M35" i="12"/>
  <c r="O35" i="12" s="1"/>
  <c r="O23" i="12"/>
  <c r="O31" i="12"/>
  <c r="N29" i="12"/>
  <c r="L24" i="12"/>
  <c r="N24" i="12" s="1"/>
  <c r="N25" i="12"/>
  <c r="L32" i="12"/>
  <c r="N32" i="12" s="1"/>
  <c r="O25" i="12"/>
  <c r="O26" i="12"/>
  <c r="L33" i="12"/>
  <c r="O34" i="12"/>
  <c r="N4" i="12"/>
  <c r="M18" i="12"/>
  <c r="O18" i="12" s="1"/>
  <c r="M3" i="12"/>
  <c r="O3" i="12" s="1"/>
  <c r="L11" i="12"/>
  <c r="N11" i="12" s="1"/>
  <c r="O12" i="12"/>
  <c r="M4" i="12"/>
  <c r="O4" i="12" s="1"/>
  <c r="M13" i="12"/>
  <c r="O13" i="12" s="1"/>
  <c r="O14" i="12"/>
  <c r="M6" i="12"/>
  <c r="O6" i="12" s="1"/>
  <c r="N16" i="12"/>
  <c r="O8" i="12"/>
  <c r="O16" i="12"/>
  <c r="M81" i="11"/>
  <c r="O81" i="11" s="1"/>
  <c r="L78" i="11"/>
  <c r="O72" i="11"/>
  <c r="O88" i="11"/>
  <c r="L75" i="11"/>
  <c r="M83" i="11"/>
  <c r="O83" i="11" s="1"/>
  <c r="M69" i="11"/>
  <c r="O69" i="11" s="1"/>
  <c r="N78" i="11"/>
  <c r="L80" i="11"/>
  <c r="L71" i="11"/>
  <c r="N71" i="11" s="1"/>
  <c r="O52" i="11"/>
  <c r="O48" i="11"/>
  <c r="L57" i="11"/>
  <c r="N57" i="11" s="1"/>
  <c r="N52" i="11"/>
  <c r="O60" i="11"/>
  <c r="O55" i="11"/>
  <c r="L38" i="11"/>
  <c r="N39" i="11"/>
  <c r="O33" i="11"/>
  <c r="O28" i="11"/>
  <c r="O29" i="11"/>
  <c r="O3" i="11"/>
  <c r="M20" i="11"/>
  <c r="O20" i="11" s="1"/>
  <c r="O23" i="11"/>
  <c r="O7" i="11"/>
  <c r="L16" i="11"/>
  <c r="N16" i="11" s="1"/>
  <c r="N8" i="11"/>
  <c r="M8" i="11"/>
  <c r="O8" i="11" s="1"/>
  <c r="L18" i="11"/>
  <c r="N18" i="11" s="1"/>
  <c r="N13" i="12"/>
  <c r="O7" i="12"/>
  <c r="L8" i="12"/>
  <c r="L14" i="12"/>
  <c r="N14" i="12" s="1"/>
  <c r="N3" i="12"/>
  <c r="O15" i="12"/>
  <c r="O11" i="12"/>
  <c r="O5" i="12"/>
  <c r="L12" i="12"/>
  <c r="N12" i="12" s="1"/>
  <c r="N18" i="12"/>
  <c r="N8" i="12"/>
  <c r="O32" i="12"/>
  <c r="O21" i="12"/>
  <c r="N27" i="12"/>
  <c r="N33" i="12"/>
  <c r="M27" i="12"/>
  <c r="O27" i="12" s="1"/>
  <c r="L22" i="12"/>
  <c r="N22" i="12" s="1"/>
  <c r="N23" i="12"/>
  <c r="N40" i="12"/>
  <c r="O52" i="12"/>
  <c r="M47" i="12"/>
  <c r="O47" i="12" s="1"/>
  <c r="L43" i="12"/>
  <c r="N43" i="12" s="1"/>
  <c r="M48" i="12"/>
  <c r="O48" i="12" s="1"/>
  <c r="O37" i="12"/>
  <c r="L44" i="12"/>
  <c r="M38" i="12"/>
  <c r="O38" i="12" s="1"/>
  <c r="N50" i="12"/>
  <c r="O39" i="12"/>
  <c r="N45" i="12"/>
  <c r="N44" i="12"/>
  <c r="N57" i="12"/>
  <c r="L65" i="12"/>
  <c r="N65" i="12" s="1"/>
  <c r="N66" i="12"/>
  <c r="N55" i="12"/>
  <c r="L66" i="12"/>
  <c r="L55" i="12"/>
  <c r="L61" i="12"/>
  <c r="N61" i="12" s="1"/>
  <c r="L67" i="12"/>
  <c r="N67" i="12" s="1"/>
  <c r="L56" i="12"/>
  <c r="N56" i="12" s="1"/>
  <c r="O62" i="12"/>
  <c r="M68" i="12"/>
  <c r="O68" i="12" s="1"/>
  <c r="L64" i="12"/>
  <c r="N64" i="12" s="1"/>
  <c r="M69" i="12"/>
  <c r="O69" i="12" s="1"/>
  <c r="M27" i="11"/>
  <c r="O27" i="11" s="1"/>
  <c r="N28" i="11"/>
  <c r="O35" i="11"/>
  <c r="N41" i="11"/>
  <c r="O36" i="11"/>
  <c r="M41" i="11"/>
  <c r="O41" i="11" s="1"/>
  <c r="O39" i="11"/>
  <c r="N27" i="11"/>
  <c r="O42" i="11"/>
  <c r="L37" i="11"/>
  <c r="N37" i="11" s="1"/>
  <c r="O30" i="11"/>
  <c r="O44" i="11"/>
  <c r="O25" i="11"/>
  <c r="N31" i="11"/>
  <c r="N38" i="11"/>
  <c r="O45" i="11"/>
  <c r="L54" i="11"/>
  <c r="L48" i="11"/>
  <c r="N48" i="11" s="1"/>
  <c r="L60" i="11"/>
  <c r="N60" i="11" s="1"/>
  <c r="L49" i="11"/>
  <c r="N49" i="11" s="1"/>
  <c r="O56" i="11"/>
  <c r="O59" i="11"/>
  <c r="L67" i="11"/>
  <c r="N67" i="11" s="1"/>
  <c r="O57" i="11"/>
  <c r="N54" i="11"/>
  <c r="M62" i="11"/>
  <c r="O62" i="11" s="1"/>
  <c r="L47" i="11"/>
  <c r="N47" i="11" s="1"/>
  <c r="L58" i="11"/>
  <c r="N58" i="11" s="1"/>
  <c r="L64" i="11"/>
  <c r="N64" i="11"/>
  <c r="O65" i="11"/>
  <c r="N79" i="11"/>
  <c r="N73" i="11"/>
  <c r="M79" i="11"/>
  <c r="O79" i="11" s="1"/>
  <c r="L85" i="11"/>
  <c r="N85" i="11" s="1"/>
  <c r="N80" i="11"/>
  <c r="N69" i="11"/>
  <c r="N75" i="11"/>
  <c r="L88" i="11"/>
  <c r="N88" i="11" s="1"/>
  <c r="L70" i="11"/>
  <c r="N70" i="11" s="1"/>
  <c r="L89" i="11"/>
  <c r="N89" i="11" s="1"/>
  <c r="N83" i="11"/>
  <c r="O78" i="11"/>
  <c r="O4" i="11"/>
  <c r="N10" i="11"/>
  <c r="L17" i="11"/>
  <c r="N17" i="11" s="1"/>
  <c r="M10" i="11"/>
  <c r="O10" i="11" s="1"/>
  <c r="L5" i="11"/>
  <c r="N5" i="11" s="1"/>
  <c r="O11" i="11"/>
  <c r="O12" i="11"/>
  <c r="L6" i="11"/>
  <c r="N6" i="11" s="1"/>
  <c r="N7" i="11"/>
  <c r="O14" i="11"/>
  <c r="N20" i="11"/>
  <c r="L15" i="11"/>
  <c r="N15" i="11" s="1"/>
  <c r="N9" i="11"/>
  <c r="N45" i="11"/>
  <c r="N47" i="12"/>
  <c r="N86" i="11"/>
  <c r="N61" i="11"/>
  <c r="N63" i="12"/>
  <c r="N58" i="12"/>
  <c r="L4" i="11"/>
  <c r="N4" i="11" s="1"/>
  <c r="L14" i="11"/>
  <c r="N14" i="11" s="1"/>
  <c r="L25" i="11"/>
  <c r="N25" i="11" s="1"/>
  <c r="L35" i="11"/>
  <c r="N35" i="11" s="1"/>
  <c r="L45" i="11"/>
  <c r="L56" i="11"/>
  <c r="N56" i="11" s="1"/>
  <c r="L66" i="11"/>
  <c r="N66" i="11" s="1"/>
  <c r="L77" i="11"/>
  <c r="N77" i="11" s="1"/>
  <c r="L87" i="11"/>
  <c r="N87" i="11" s="1"/>
  <c r="L10" i="12"/>
  <c r="N10" i="12" s="1"/>
  <c r="L21" i="12"/>
  <c r="N21" i="12" s="1"/>
  <c r="L31" i="12"/>
  <c r="N31" i="12" s="1"/>
  <c r="L42" i="12"/>
  <c r="N42" i="12" s="1"/>
  <c r="L52" i="12"/>
  <c r="N52" i="12" s="1"/>
  <c r="L63" i="12"/>
  <c r="L11" i="11"/>
  <c r="N11" i="11" s="1"/>
  <c r="L21" i="11"/>
  <c r="N21" i="11" s="1"/>
  <c r="L32" i="11"/>
  <c r="N32" i="11" s="1"/>
  <c r="L42" i="11"/>
  <c r="N42" i="11" s="1"/>
  <c r="L53" i="11"/>
  <c r="N53" i="11" s="1"/>
  <c r="L63" i="11"/>
  <c r="N63" i="11" s="1"/>
  <c r="L74" i="11"/>
  <c r="N74" i="11" s="1"/>
  <c r="L84" i="11"/>
  <c r="N84" i="11" s="1"/>
  <c r="L7" i="12"/>
  <c r="N7" i="12" s="1"/>
  <c r="L17" i="12"/>
  <c r="N17" i="12" s="1"/>
  <c r="L28" i="12"/>
  <c r="N28" i="12" s="1"/>
  <c r="L39" i="12"/>
  <c r="N39" i="12" s="1"/>
  <c r="L49" i="12"/>
  <c r="N49" i="12" s="1"/>
  <c r="L60" i="12"/>
  <c r="N60" i="12" s="1"/>
  <c r="L12" i="11"/>
  <c r="N12" i="11" s="1"/>
  <c r="L22" i="11"/>
  <c r="N22" i="11" s="1"/>
  <c r="L33" i="11"/>
  <c r="N33" i="11" s="1"/>
  <c r="L43" i="11"/>
  <c r="N43" i="11" s="1"/>
  <c r="L9" i="11"/>
  <c r="L19" i="11"/>
  <c r="N19" i="11" s="1"/>
  <c r="L30" i="11"/>
  <c r="N30" i="11" s="1"/>
  <c r="L40" i="11"/>
  <c r="N40" i="11" s="1"/>
  <c r="L51" i="11"/>
  <c r="N51" i="11" s="1"/>
  <c r="L61" i="11"/>
  <c r="L72" i="11"/>
  <c r="N72" i="11" s="1"/>
  <c r="L82" i="11"/>
  <c r="N82" i="11" s="1"/>
  <c r="L5" i="12"/>
  <c r="N5" i="12" s="1"/>
  <c r="L15" i="12"/>
  <c r="N15" i="12" s="1"/>
  <c r="L26" i="12"/>
  <c r="N26" i="12" s="1"/>
  <c r="L37" i="12"/>
  <c r="N37" i="12" s="1"/>
  <c r="L3" i="11"/>
  <c r="N3" i="11" s="1"/>
  <c r="L13" i="11"/>
  <c r="N13" i="11" s="1"/>
  <c r="L23" i="11"/>
  <c r="N23" i="11" s="1"/>
  <c r="L34" i="11"/>
  <c r="N34" i="11" s="1"/>
  <c r="L44" i="11"/>
  <c r="N44" i="11" s="1"/>
  <c r="L55" i="11"/>
  <c r="N55" i="11" s="1"/>
  <c r="L65" i="11"/>
  <c r="N65" i="11" s="1"/>
  <c r="L76" i="11"/>
  <c r="N76" i="11" s="1"/>
  <c r="L86" i="11"/>
  <c r="L9" i="12"/>
  <c r="N9" i="12" s="1"/>
  <c r="L20" i="12"/>
  <c r="N20" i="12" s="1"/>
  <c r="L30" i="12"/>
  <c r="N30" i="12" s="1"/>
  <c r="L41" i="12"/>
  <c r="N41" i="12" s="1"/>
  <c r="L51" i="12"/>
  <c r="N51" i="12" s="1"/>
  <c r="L62" i="12"/>
  <c r="N62" i="12" s="1"/>
  <c r="M63" i="10"/>
  <c r="O63" i="10" s="1"/>
  <c r="O65" i="10"/>
  <c r="O56" i="10"/>
  <c r="O57" i="10"/>
  <c r="M68" i="10"/>
  <c r="O68" i="10" s="1"/>
  <c r="L52" i="10"/>
  <c r="N52" i="10" s="1"/>
  <c r="M46" i="10"/>
  <c r="O46" i="10" s="1"/>
  <c r="N49" i="10"/>
  <c r="O51" i="10"/>
  <c r="N34" i="10"/>
  <c r="O25" i="10"/>
  <c r="O26" i="10"/>
  <c r="N26" i="10"/>
  <c r="N28" i="10"/>
  <c r="M21" i="10"/>
  <c r="O21" i="10" s="1"/>
  <c r="O23" i="10"/>
  <c r="L4" i="10"/>
  <c r="O15" i="10"/>
  <c r="N7" i="10"/>
  <c r="O8" i="10"/>
  <c r="O10" i="10"/>
  <c r="O11" i="10"/>
  <c r="N13" i="10"/>
  <c r="N74" i="9"/>
  <c r="N84" i="9"/>
  <c r="O75" i="9"/>
  <c r="O85" i="9"/>
  <c r="O76" i="9"/>
  <c r="M87" i="9"/>
  <c r="O87" i="9" s="1"/>
  <c r="N69" i="9"/>
  <c r="O81" i="9"/>
  <c r="O65" i="9"/>
  <c r="N56" i="9"/>
  <c r="L66" i="9"/>
  <c r="M60" i="9"/>
  <c r="O60" i="9" s="1"/>
  <c r="O52" i="9"/>
  <c r="O61" i="9"/>
  <c r="O50" i="9"/>
  <c r="O62" i="9"/>
  <c r="O28" i="9"/>
  <c r="L45" i="9"/>
  <c r="N45" i="9" s="1"/>
  <c r="O40" i="9"/>
  <c r="N40" i="9"/>
  <c r="M42" i="9"/>
  <c r="O42" i="9" s="1"/>
  <c r="M35" i="9"/>
  <c r="O35" i="9" s="1"/>
  <c r="O17" i="9"/>
  <c r="M4" i="9"/>
  <c r="O4" i="9" s="1"/>
  <c r="M21" i="9"/>
  <c r="O21" i="9" s="1"/>
  <c r="O9" i="9"/>
  <c r="O10" i="9"/>
  <c r="O19" i="9"/>
  <c r="O3" i="9"/>
  <c r="O20" i="9"/>
  <c r="M14" i="9"/>
  <c r="O14" i="9" s="1"/>
  <c r="M58" i="10"/>
  <c r="O58" i="10" s="1"/>
  <c r="L57" i="10"/>
  <c r="N57" i="10" s="1"/>
  <c r="M66" i="10"/>
  <c r="O66" i="10" s="1"/>
  <c r="M67" i="10"/>
  <c r="O67" i="10" s="1"/>
  <c r="N56" i="10"/>
  <c r="N67" i="10"/>
  <c r="M60" i="10"/>
  <c r="O60" i="10" s="1"/>
  <c r="O43" i="10"/>
  <c r="M49" i="10"/>
  <c r="O49" i="10" s="1"/>
  <c r="L37" i="10"/>
  <c r="N37" i="10" s="1"/>
  <c r="N45" i="10"/>
  <c r="O38" i="10"/>
  <c r="M45" i="10"/>
  <c r="O45" i="10" s="1"/>
  <c r="N46" i="10"/>
  <c r="O41" i="10"/>
  <c r="L47" i="10"/>
  <c r="N47" i="10" s="1"/>
  <c r="N42" i="10"/>
  <c r="O22" i="10"/>
  <c r="M28" i="10"/>
  <c r="O28" i="10" s="1"/>
  <c r="L35" i="10"/>
  <c r="N35" i="10" s="1"/>
  <c r="O30" i="10"/>
  <c r="M24" i="10"/>
  <c r="O24" i="10" s="1"/>
  <c r="L31" i="10"/>
  <c r="N31" i="10" s="1"/>
  <c r="N25" i="10"/>
  <c r="O32" i="10"/>
  <c r="O20" i="10"/>
  <c r="M34" i="10"/>
  <c r="O34" i="10" s="1"/>
  <c r="M14" i="10"/>
  <c r="O14" i="10" s="1"/>
  <c r="N3" i="10"/>
  <c r="L15" i="10"/>
  <c r="N15" i="10" s="1"/>
  <c r="M3" i="10"/>
  <c r="O3" i="10" s="1"/>
  <c r="O16" i="10"/>
  <c r="L10" i="10"/>
  <c r="N10" i="10" s="1"/>
  <c r="N17" i="10"/>
  <c r="N4" i="10"/>
  <c r="N14" i="10"/>
  <c r="M7" i="10"/>
  <c r="O7" i="10" s="1"/>
  <c r="L5" i="10"/>
  <c r="N5" i="10" s="1"/>
  <c r="M13" i="10"/>
  <c r="O13" i="10" s="1"/>
  <c r="M74" i="9"/>
  <c r="O74" i="9" s="1"/>
  <c r="L81" i="9"/>
  <c r="N81" i="9" s="1"/>
  <c r="O88" i="9"/>
  <c r="O89" i="9"/>
  <c r="L82" i="9"/>
  <c r="N82" i="9" s="1"/>
  <c r="M70" i="9"/>
  <c r="O70" i="9" s="1"/>
  <c r="O83" i="9"/>
  <c r="L77" i="9"/>
  <c r="N77" i="9" s="1"/>
  <c r="N71" i="9"/>
  <c r="O78" i="9"/>
  <c r="M84" i="9"/>
  <c r="O84" i="9" s="1"/>
  <c r="O86" i="9"/>
  <c r="L72" i="9"/>
  <c r="N72" i="9" s="1"/>
  <c r="M80" i="9"/>
  <c r="O80" i="9" s="1"/>
  <c r="N60" i="9"/>
  <c r="N53" i="9"/>
  <c r="O67" i="9"/>
  <c r="L61" i="9"/>
  <c r="N61" i="9" s="1"/>
  <c r="O55" i="9"/>
  <c r="M56" i="9"/>
  <c r="O56" i="9" s="1"/>
  <c r="M63" i="9"/>
  <c r="O63" i="9" s="1"/>
  <c r="O53" i="9"/>
  <c r="N50" i="9"/>
  <c r="O64" i="9"/>
  <c r="L51" i="9"/>
  <c r="N51" i="9" s="1"/>
  <c r="N66" i="9"/>
  <c r="L30" i="9"/>
  <c r="N30" i="9" s="1"/>
  <c r="O38" i="9"/>
  <c r="O31" i="9"/>
  <c r="M25" i="9"/>
  <c r="O25" i="9" s="1"/>
  <c r="M32" i="9"/>
  <c r="O32" i="9" s="1"/>
  <c r="O33" i="9"/>
  <c r="O39" i="9"/>
  <c r="O27" i="9"/>
  <c r="O41" i="9"/>
  <c r="N29" i="9"/>
  <c r="O43" i="9"/>
  <c r="L29" i="9"/>
  <c r="O44" i="9"/>
  <c r="N8" i="9"/>
  <c r="L9" i="9"/>
  <c r="N9" i="9" s="1"/>
  <c r="N18" i="9"/>
  <c r="N4" i="9"/>
  <c r="L19" i="9"/>
  <c r="N19" i="9" s="1"/>
  <c r="O13" i="9"/>
  <c r="N15" i="9"/>
  <c r="N52" i="9"/>
  <c r="N26" i="9"/>
  <c r="N5" i="9"/>
  <c r="N12" i="10"/>
  <c r="N55" i="10"/>
  <c r="N62" i="10"/>
  <c r="N11" i="10"/>
  <c r="L36" i="9"/>
  <c r="N36" i="9" s="1"/>
  <c r="L47" i="9"/>
  <c r="N47" i="9" s="1"/>
  <c r="L57" i="9"/>
  <c r="N57" i="9" s="1"/>
  <c r="L67" i="9"/>
  <c r="N67" i="9" s="1"/>
  <c r="L78" i="9"/>
  <c r="N78" i="9" s="1"/>
  <c r="L88" i="9"/>
  <c r="N88" i="9" s="1"/>
  <c r="L11" i="10"/>
  <c r="L22" i="10"/>
  <c r="N22" i="10" s="1"/>
  <c r="L32" i="10"/>
  <c r="N32" i="10" s="1"/>
  <c r="L43" i="10"/>
  <c r="N43" i="10" s="1"/>
  <c r="L54" i="10"/>
  <c r="N54" i="10" s="1"/>
  <c r="M5" i="9"/>
  <c r="O5" i="9" s="1"/>
  <c r="M15" i="9"/>
  <c r="O15" i="9" s="1"/>
  <c r="M26" i="9"/>
  <c r="O26" i="9" s="1"/>
  <c r="L12" i="9"/>
  <c r="N12" i="9" s="1"/>
  <c r="L22" i="9"/>
  <c r="N22" i="9" s="1"/>
  <c r="L33" i="9"/>
  <c r="N33" i="9" s="1"/>
  <c r="L43" i="9"/>
  <c r="N43" i="9" s="1"/>
  <c r="L54" i="9"/>
  <c r="N54" i="9" s="1"/>
  <c r="L64" i="9"/>
  <c r="N64" i="9" s="1"/>
  <c r="L75" i="9"/>
  <c r="N75" i="9" s="1"/>
  <c r="L85" i="9"/>
  <c r="N85" i="9" s="1"/>
  <c r="L8" i="10"/>
  <c r="N8" i="10" s="1"/>
  <c r="L18" i="10"/>
  <c r="N18" i="10" s="1"/>
  <c r="L29" i="10"/>
  <c r="N29" i="10" s="1"/>
  <c r="L40" i="10"/>
  <c r="N40" i="10" s="1"/>
  <c r="L50" i="10"/>
  <c r="N50" i="10" s="1"/>
  <c r="L61" i="10"/>
  <c r="N61" i="10" s="1"/>
  <c r="L64" i="10"/>
  <c r="N64" i="10" s="1"/>
  <c r="M12" i="10"/>
  <c r="O12" i="10" s="1"/>
  <c r="L3" i="9"/>
  <c r="N3" i="9" s="1"/>
  <c r="L13" i="9"/>
  <c r="N13" i="9" s="1"/>
  <c r="L23" i="9"/>
  <c r="N23" i="9" s="1"/>
  <c r="L34" i="9"/>
  <c r="N34" i="9" s="1"/>
  <c r="L44" i="9"/>
  <c r="N44" i="9" s="1"/>
  <c r="L55" i="9"/>
  <c r="N55" i="9" s="1"/>
  <c r="L65" i="9"/>
  <c r="N65" i="9" s="1"/>
  <c r="L76" i="9"/>
  <c r="N76" i="9" s="1"/>
  <c r="L86" i="9"/>
  <c r="N86" i="9" s="1"/>
  <c r="L9" i="10"/>
  <c r="N9" i="10" s="1"/>
  <c r="L20" i="10"/>
  <c r="N20" i="10" s="1"/>
  <c r="L30" i="10"/>
  <c r="N30" i="10" s="1"/>
  <c r="L41" i="10"/>
  <c r="N41" i="10" s="1"/>
  <c r="L51" i="10"/>
  <c r="N51" i="10" s="1"/>
  <c r="L62" i="10"/>
  <c r="L16" i="9"/>
  <c r="N16" i="9" s="1"/>
  <c r="L27" i="9"/>
  <c r="N27" i="9" s="1"/>
  <c r="L58" i="9"/>
  <c r="N58" i="9" s="1"/>
  <c r="L79" i="9"/>
  <c r="N79" i="9" s="1"/>
  <c r="L10" i="9"/>
  <c r="N10" i="9" s="1"/>
  <c r="L20" i="9"/>
  <c r="N20" i="9" s="1"/>
  <c r="L31" i="9"/>
  <c r="N31" i="9" s="1"/>
  <c r="L41" i="9"/>
  <c r="N41" i="9" s="1"/>
  <c r="L52" i="9"/>
  <c r="L62" i="9"/>
  <c r="N62" i="9" s="1"/>
  <c r="L73" i="9"/>
  <c r="N73" i="9" s="1"/>
  <c r="L83" i="9"/>
  <c r="N83" i="9" s="1"/>
  <c r="L6" i="10"/>
  <c r="N6" i="10" s="1"/>
  <c r="L16" i="10"/>
  <c r="N16" i="10" s="1"/>
  <c r="L27" i="10"/>
  <c r="N27" i="10" s="1"/>
  <c r="L38" i="10"/>
  <c r="N38" i="10" s="1"/>
  <c r="L48" i="10"/>
  <c r="N48" i="10" s="1"/>
  <c r="L59" i="10"/>
  <c r="N59" i="10" s="1"/>
  <c r="L69" i="10"/>
  <c r="N69" i="10" s="1"/>
  <c r="L23" i="10"/>
  <c r="N23" i="10" s="1"/>
  <c r="M55" i="10"/>
  <c r="O55" i="10" s="1"/>
  <c r="L37" i="9"/>
  <c r="N37" i="9" s="1"/>
  <c r="L48" i="9"/>
  <c r="N48" i="9" s="1"/>
  <c r="L89" i="9"/>
  <c r="N89" i="9" s="1"/>
  <c r="L33" i="10"/>
  <c r="N33" i="10" s="1"/>
  <c r="L44" i="10"/>
  <c r="N44" i="10" s="1"/>
  <c r="M69" i="9"/>
  <c r="O69" i="9" s="1"/>
  <c r="L7" i="9"/>
  <c r="N7" i="9" s="1"/>
  <c r="L17" i="9"/>
  <c r="N17" i="9" s="1"/>
  <c r="L28" i="9"/>
  <c r="N28" i="9" s="1"/>
  <c r="L38" i="9"/>
  <c r="N38" i="9" s="1"/>
  <c r="L49" i="9"/>
  <c r="N49" i="9" s="1"/>
  <c r="L59" i="9"/>
  <c r="N59" i="9" s="1"/>
  <c r="L6" i="9"/>
  <c r="N6" i="9" s="1"/>
  <c r="L65" i="10"/>
  <c r="N65" i="10" s="1"/>
  <c r="M87" i="7"/>
  <c r="O87" i="7" s="1"/>
  <c r="M89" i="7"/>
  <c r="O89" i="7" s="1"/>
  <c r="M82" i="7"/>
  <c r="O82" i="7" s="1"/>
  <c r="O70" i="7"/>
  <c r="O88" i="7"/>
  <c r="N80" i="7"/>
  <c r="O54" i="7"/>
  <c r="O64" i="7"/>
  <c r="O55" i="7"/>
  <c r="M40" i="7"/>
  <c r="O40" i="7" s="1"/>
  <c r="O41" i="7"/>
  <c r="O44" i="7"/>
  <c r="M35" i="7"/>
  <c r="O35" i="7" s="1"/>
  <c r="L28" i="7"/>
  <c r="M30" i="7"/>
  <c r="O30" i="7" s="1"/>
  <c r="N42" i="7"/>
  <c r="N28" i="7"/>
  <c r="L45" i="7"/>
  <c r="N45" i="7" s="1"/>
  <c r="N40" i="7"/>
  <c r="L23" i="7"/>
  <c r="N23" i="7" s="1"/>
  <c r="M6" i="7"/>
  <c r="O6" i="7" s="1"/>
  <c r="N4" i="7"/>
  <c r="O23" i="7"/>
  <c r="O4" i="7"/>
  <c r="N69" i="5"/>
  <c r="M87" i="5"/>
  <c r="O87" i="5" s="1"/>
  <c r="O88" i="5"/>
  <c r="M79" i="5"/>
  <c r="O79" i="5" s="1"/>
  <c r="O80" i="5"/>
  <c r="N76" i="5"/>
  <c r="L60" i="5"/>
  <c r="O52" i="5"/>
  <c r="O61" i="5"/>
  <c r="M56" i="5"/>
  <c r="O56" i="5" s="1"/>
  <c r="O57" i="5"/>
  <c r="O66" i="5"/>
  <c r="N58" i="5"/>
  <c r="N42" i="5"/>
  <c r="M27" i="5"/>
  <c r="O27" i="5" s="1"/>
  <c r="L35" i="5"/>
  <c r="N35" i="5" s="1"/>
  <c r="N37" i="5"/>
  <c r="N32" i="5"/>
  <c r="O40" i="5"/>
  <c r="L14" i="5"/>
  <c r="N14" i="5" s="1"/>
  <c r="N16" i="5"/>
  <c r="L12" i="5"/>
  <c r="N12" i="5" s="1"/>
  <c r="M3" i="5"/>
  <c r="O3" i="5" s="1"/>
  <c r="N63" i="8"/>
  <c r="N58" i="8"/>
  <c r="M68" i="8"/>
  <c r="O68" i="8" s="1"/>
  <c r="L56" i="8"/>
  <c r="N56" i="8" s="1"/>
  <c r="M58" i="8"/>
  <c r="O58" i="8" s="1"/>
  <c r="N55" i="8"/>
  <c r="O63" i="8"/>
  <c r="M65" i="8"/>
  <c r="O65" i="8" s="1"/>
  <c r="L66" i="8"/>
  <c r="N66" i="8" s="1"/>
  <c r="L62" i="8"/>
  <c r="N62" i="8" s="1"/>
  <c r="O69" i="8"/>
  <c r="M37" i="8"/>
  <c r="O37" i="8" s="1"/>
  <c r="M52" i="8"/>
  <c r="O52" i="8" s="1"/>
  <c r="L41" i="8"/>
  <c r="N41" i="8" s="1"/>
  <c r="L42" i="8"/>
  <c r="N42" i="8" s="1"/>
  <c r="L45" i="8"/>
  <c r="N45" i="8" s="1"/>
  <c r="L51" i="8"/>
  <c r="N51" i="8" s="1"/>
  <c r="M44" i="8"/>
  <c r="O44" i="8" s="1"/>
  <c r="M23" i="8"/>
  <c r="O23" i="8" s="1"/>
  <c r="L31" i="8"/>
  <c r="N31" i="8" s="1"/>
  <c r="M33" i="8"/>
  <c r="O33" i="8" s="1"/>
  <c r="M26" i="8"/>
  <c r="O26" i="8" s="1"/>
  <c r="L34" i="8"/>
  <c r="N34" i="8" s="1"/>
  <c r="L30" i="8"/>
  <c r="N30" i="8" s="1"/>
  <c r="L24" i="8"/>
  <c r="N24" i="8" s="1"/>
  <c r="L20" i="8"/>
  <c r="N20" i="8" s="1"/>
  <c r="L21" i="8"/>
  <c r="N21" i="8" s="1"/>
  <c r="O32" i="8"/>
  <c r="L3" i="8"/>
  <c r="N3" i="8" s="1"/>
  <c r="M5" i="8"/>
  <c r="O5" i="8" s="1"/>
  <c r="O13" i="8"/>
  <c r="O10" i="8"/>
  <c r="O7" i="8"/>
  <c r="O8" i="8"/>
  <c r="L9" i="8"/>
  <c r="O16" i="8"/>
  <c r="N10" i="8"/>
  <c r="N9" i="8"/>
  <c r="L58" i="6"/>
  <c r="N58" i="6" s="1"/>
  <c r="M65" i="6"/>
  <c r="O65" i="6" s="1"/>
  <c r="L54" i="6"/>
  <c r="L62" i="6"/>
  <c r="N62" i="6" s="1"/>
  <c r="L68" i="6"/>
  <c r="N68" i="6" s="1"/>
  <c r="N55" i="6"/>
  <c r="O69" i="6"/>
  <c r="O55" i="6"/>
  <c r="L63" i="6"/>
  <c r="N63" i="6" s="1"/>
  <c r="L51" i="6"/>
  <c r="N51" i="6" s="1"/>
  <c r="L37" i="6"/>
  <c r="N37" i="6" s="1"/>
  <c r="L41" i="6"/>
  <c r="N41" i="6" s="1"/>
  <c r="O43" i="6"/>
  <c r="M44" i="6"/>
  <c r="O44" i="6" s="1"/>
  <c r="O39" i="6"/>
  <c r="L47" i="6"/>
  <c r="N47" i="6" s="1"/>
  <c r="M42" i="6"/>
  <c r="O42" i="6" s="1"/>
  <c r="O30" i="6"/>
  <c r="M23" i="6"/>
  <c r="O23" i="6" s="1"/>
  <c r="L32" i="6"/>
  <c r="N32" i="6" s="1"/>
  <c r="N20" i="6"/>
  <c r="N33" i="6"/>
  <c r="N30" i="6"/>
  <c r="O33" i="6"/>
  <c r="O28" i="6"/>
  <c r="O3" i="6"/>
  <c r="O17" i="6"/>
  <c r="L15" i="6"/>
  <c r="N15" i="6" s="1"/>
  <c r="L10" i="6"/>
  <c r="N10" i="6" s="1"/>
  <c r="M9" i="6"/>
  <c r="O9" i="6" s="1"/>
  <c r="O5" i="6"/>
  <c r="N11" i="6"/>
  <c r="M12" i="6"/>
  <c r="O12" i="6" s="1"/>
  <c r="N9" i="6"/>
  <c r="N7" i="6"/>
  <c r="O64" i="4"/>
  <c r="O67" i="4"/>
  <c r="L62" i="4"/>
  <c r="N62" i="4" s="1"/>
  <c r="L41" i="4"/>
  <c r="N41" i="4" s="1"/>
  <c r="O43" i="4"/>
  <c r="O20" i="4"/>
  <c r="O30" i="4"/>
  <c r="M31" i="4"/>
  <c r="O31" i="4" s="1"/>
  <c r="N12" i="4"/>
  <c r="O15" i="4"/>
  <c r="N17" i="4"/>
  <c r="O18" i="4"/>
  <c r="L9" i="4"/>
  <c r="N9" i="4" s="1"/>
  <c r="O10" i="4"/>
  <c r="N77" i="5"/>
  <c r="L88" i="5"/>
  <c r="N88" i="5" s="1"/>
  <c r="M77" i="5"/>
  <c r="O77" i="5" s="1"/>
  <c r="N89" i="5"/>
  <c r="L72" i="5"/>
  <c r="N72" i="5" s="1"/>
  <c r="M89" i="5"/>
  <c r="O89" i="5" s="1"/>
  <c r="O76" i="5"/>
  <c r="L71" i="5"/>
  <c r="N71" i="5" s="1"/>
  <c r="L84" i="5"/>
  <c r="N84" i="5" s="1"/>
  <c r="L82" i="5"/>
  <c r="N82" i="5" s="1"/>
  <c r="M78" i="5"/>
  <c r="O78" i="5" s="1"/>
  <c r="N79" i="5"/>
  <c r="M86" i="5"/>
  <c r="O86" i="5" s="1"/>
  <c r="N81" i="5"/>
  <c r="N86" i="5"/>
  <c r="O74" i="5"/>
  <c r="M69" i="5"/>
  <c r="O69" i="5" s="1"/>
  <c r="N53" i="5"/>
  <c r="M53" i="5"/>
  <c r="O53" i="5" s="1"/>
  <c r="L65" i="5"/>
  <c r="N65" i="5" s="1"/>
  <c r="O47" i="5"/>
  <c r="N60" i="5"/>
  <c r="M58" i="5"/>
  <c r="O58" i="5" s="1"/>
  <c r="L66" i="5"/>
  <c r="N66" i="5" s="1"/>
  <c r="L55" i="5"/>
  <c r="N55" i="5" s="1"/>
  <c r="L50" i="5"/>
  <c r="N50" i="5" s="1"/>
  <c r="N44" i="5"/>
  <c r="M25" i="5"/>
  <c r="O25" i="5" s="1"/>
  <c r="M44" i="5"/>
  <c r="O44" i="5" s="1"/>
  <c r="L39" i="5"/>
  <c r="N39" i="5" s="1"/>
  <c r="N27" i="5"/>
  <c r="N34" i="5"/>
  <c r="M34" i="5"/>
  <c r="O34" i="5" s="1"/>
  <c r="O31" i="5"/>
  <c r="N4" i="5"/>
  <c r="L11" i="5"/>
  <c r="N11" i="5" s="1"/>
  <c r="M4" i="5"/>
  <c r="O4" i="5" s="1"/>
  <c r="M16" i="5"/>
  <c r="O16" i="5" s="1"/>
  <c r="O18" i="5"/>
  <c r="L13" i="5"/>
  <c r="N13" i="5" s="1"/>
  <c r="M6" i="5"/>
  <c r="O6" i="5" s="1"/>
  <c r="O21" i="5"/>
  <c r="N3" i="5"/>
  <c r="L15" i="5"/>
  <c r="N15" i="5" s="1"/>
  <c r="L23" i="5"/>
  <c r="N23" i="5" s="1"/>
  <c r="O10" i="5"/>
  <c r="M69" i="7"/>
  <c r="O69" i="7" s="1"/>
  <c r="L77" i="7"/>
  <c r="N77" i="7" s="1"/>
  <c r="L86" i="7"/>
  <c r="N86" i="7" s="1"/>
  <c r="M79" i="7"/>
  <c r="O79" i="7" s="1"/>
  <c r="L76" i="7"/>
  <c r="N76" i="7" s="1"/>
  <c r="L70" i="7"/>
  <c r="N70" i="7" s="1"/>
  <c r="M72" i="7"/>
  <c r="O72" i="7" s="1"/>
  <c r="O80" i="7"/>
  <c r="O75" i="7"/>
  <c r="L55" i="7"/>
  <c r="N55" i="7" s="1"/>
  <c r="O62" i="7"/>
  <c r="L56" i="7"/>
  <c r="N56" i="7" s="1"/>
  <c r="L49" i="7"/>
  <c r="N49" i="7" s="1"/>
  <c r="M61" i="7"/>
  <c r="O61" i="7" s="1"/>
  <c r="M48" i="7"/>
  <c r="O48" i="7" s="1"/>
  <c r="O57" i="7"/>
  <c r="O65" i="7"/>
  <c r="M58" i="7"/>
  <c r="O58" i="7" s="1"/>
  <c r="L66" i="7"/>
  <c r="N66" i="7" s="1"/>
  <c r="O52" i="7"/>
  <c r="L59" i="7"/>
  <c r="N59" i="7" s="1"/>
  <c r="M51" i="7"/>
  <c r="O51" i="7" s="1"/>
  <c r="O67" i="7"/>
  <c r="L25" i="7"/>
  <c r="N25" i="7" s="1"/>
  <c r="L38" i="7"/>
  <c r="N38" i="7" s="1"/>
  <c r="O33" i="7"/>
  <c r="O45" i="7"/>
  <c r="L34" i="7"/>
  <c r="N34" i="7" s="1"/>
  <c r="M27" i="7"/>
  <c r="O27" i="7" s="1"/>
  <c r="O28" i="7"/>
  <c r="L44" i="7"/>
  <c r="N44" i="7" s="1"/>
  <c r="M37" i="7"/>
  <c r="O37" i="7" s="1"/>
  <c r="M9" i="7"/>
  <c r="O9" i="7" s="1"/>
  <c r="M16" i="7"/>
  <c r="O16" i="7" s="1"/>
  <c r="L17" i="7"/>
  <c r="N17" i="7" s="1"/>
  <c r="M3" i="7"/>
  <c r="O3" i="7" s="1"/>
  <c r="O11" i="7"/>
  <c r="M19" i="7"/>
  <c r="O19" i="7" s="1"/>
  <c r="L7" i="7"/>
  <c r="N7" i="7" s="1"/>
  <c r="L14" i="7"/>
  <c r="N14" i="7" s="1"/>
  <c r="N61" i="7"/>
  <c r="N9" i="7"/>
  <c r="N60" i="7"/>
  <c r="N32" i="7"/>
  <c r="N39" i="7"/>
  <c r="N84" i="7"/>
  <c r="N4" i="8"/>
  <c r="N57" i="8"/>
  <c r="N18" i="7"/>
  <c r="N85" i="7"/>
  <c r="N63" i="7"/>
  <c r="N71" i="7"/>
  <c r="N35" i="8"/>
  <c r="N19" i="7"/>
  <c r="N25" i="8"/>
  <c r="N26" i="8"/>
  <c r="N72" i="7"/>
  <c r="N37" i="8"/>
  <c r="N53" i="7"/>
  <c r="N51" i="7"/>
  <c r="N15" i="8"/>
  <c r="N68" i="8"/>
  <c r="N21" i="7"/>
  <c r="N29" i="7"/>
  <c r="N74" i="7"/>
  <c r="N81" i="7"/>
  <c r="N39" i="8"/>
  <c r="N46" i="8"/>
  <c r="N67" i="8"/>
  <c r="N8" i="7"/>
  <c r="N30" i="7"/>
  <c r="N82" i="7"/>
  <c r="N47" i="8"/>
  <c r="L28" i="8"/>
  <c r="N28" i="8" s="1"/>
  <c r="M32" i="7"/>
  <c r="O32" i="7" s="1"/>
  <c r="M63" i="7"/>
  <c r="O63" i="7" s="1"/>
  <c r="M84" i="7"/>
  <c r="O84" i="7" s="1"/>
  <c r="M39" i="8"/>
  <c r="O39" i="8" s="1"/>
  <c r="L67" i="8"/>
  <c r="M8" i="7"/>
  <c r="O8" i="7" s="1"/>
  <c r="M18" i="7"/>
  <c r="O18" i="7" s="1"/>
  <c r="M29" i="7"/>
  <c r="O29" i="7" s="1"/>
  <c r="M39" i="7"/>
  <c r="O39" i="7" s="1"/>
  <c r="M50" i="7"/>
  <c r="O50" i="7" s="1"/>
  <c r="M60" i="7"/>
  <c r="O60" i="7" s="1"/>
  <c r="M71" i="7"/>
  <c r="O71" i="7" s="1"/>
  <c r="M81" i="7"/>
  <c r="O81" i="7" s="1"/>
  <c r="M4" i="8"/>
  <c r="O4" i="8" s="1"/>
  <c r="M14" i="8"/>
  <c r="O14" i="8" s="1"/>
  <c r="M25" i="8"/>
  <c r="O25" i="8" s="1"/>
  <c r="M35" i="8"/>
  <c r="O35" i="8" s="1"/>
  <c r="M46" i="8"/>
  <c r="O46" i="8" s="1"/>
  <c r="M57" i="8"/>
  <c r="O57" i="8" s="1"/>
  <c r="L49" i="8"/>
  <c r="N49" i="8" s="1"/>
  <c r="L5" i="7"/>
  <c r="N5" i="7" s="1"/>
  <c r="L15" i="7"/>
  <c r="N15" i="7" s="1"/>
  <c r="L26" i="7"/>
  <c r="N26" i="7" s="1"/>
  <c r="L36" i="7"/>
  <c r="N36" i="7" s="1"/>
  <c r="L47" i="7"/>
  <c r="N47" i="7" s="1"/>
  <c r="L57" i="7"/>
  <c r="N57" i="7" s="1"/>
  <c r="L67" i="7"/>
  <c r="N67" i="7" s="1"/>
  <c r="L78" i="7"/>
  <c r="N78" i="7" s="1"/>
  <c r="L88" i="7"/>
  <c r="N88" i="7" s="1"/>
  <c r="L11" i="8"/>
  <c r="N11" i="8" s="1"/>
  <c r="L22" i="8"/>
  <c r="N22" i="8" s="1"/>
  <c r="L32" i="8"/>
  <c r="N32" i="8" s="1"/>
  <c r="L43" i="8"/>
  <c r="N43" i="8" s="1"/>
  <c r="L54" i="8"/>
  <c r="N54" i="8" s="1"/>
  <c r="L64" i="8"/>
  <c r="N64" i="8" s="1"/>
  <c r="M21" i="7"/>
  <c r="O21" i="7" s="1"/>
  <c r="M74" i="7"/>
  <c r="O74" i="7" s="1"/>
  <c r="L12" i="7"/>
  <c r="N12" i="7" s="1"/>
  <c r="L22" i="7"/>
  <c r="N22" i="7" s="1"/>
  <c r="L33" i="7"/>
  <c r="N33" i="7" s="1"/>
  <c r="L43" i="7"/>
  <c r="N43" i="7" s="1"/>
  <c r="L54" i="7"/>
  <c r="N54" i="7" s="1"/>
  <c r="L64" i="7"/>
  <c r="N64" i="7" s="1"/>
  <c r="L75" i="7"/>
  <c r="N75" i="7" s="1"/>
  <c r="L85" i="7"/>
  <c r="L8" i="8"/>
  <c r="N8" i="8" s="1"/>
  <c r="L18" i="8"/>
  <c r="N18" i="8" s="1"/>
  <c r="L29" i="8"/>
  <c r="N29" i="8" s="1"/>
  <c r="L40" i="8"/>
  <c r="N40" i="8" s="1"/>
  <c r="L50" i="8"/>
  <c r="N50" i="8" s="1"/>
  <c r="L61" i="8"/>
  <c r="N61" i="8" s="1"/>
  <c r="M53" i="7"/>
  <c r="O53" i="7" s="1"/>
  <c r="L11" i="7"/>
  <c r="N11" i="7" s="1"/>
  <c r="L7" i="8"/>
  <c r="N7" i="8" s="1"/>
  <c r="L17" i="8"/>
  <c r="N17" i="8" s="1"/>
  <c r="L60" i="8"/>
  <c r="N60" i="8" s="1"/>
  <c r="M42" i="7"/>
  <c r="O42" i="7" s="1"/>
  <c r="N3" i="7"/>
  <c r="L10" i="7"/>
  <c r="N10" i="7" s="1"/>
  <c r="N13" i="7"/>
  <c r="L20" i="7"/>
  <c r="N20" i="7" s="1"/>
  <c r="L31" i="7"/>
  <c r="N31" i="7" s="1"/>
  <c r="L41" i="7"/>
  <c r="N41" i="7" s="1"/>
  <c r="L52" i="7"/>
  <c r="N52" i="7" s="1"/>
  <c r="L62" i="7"/>
  <c r="N62" i="7" s="1"/>
  <c r="L73" i="7"/>
  <c r="N73" i="7" s="1"/>
  <c r="L83" i="7"/>
  <c r="N83" i="7" s="1"/>
  <c r="L6" i="8"/>
  <c r="N6" i="8" s="1"/>
  <c r="L16" i="8"/>
  <c r="N16" i="8" s="1"/>
  <c r="L27" i="8"/>
  <c r="N27" i="8" s="1"/>
  <c r="L38" i="8"/>
  <c r="N38" i="8" s="1"/>
  <c r="L48" i="8"/>
  <c r="N48" i="8" s="1"/>
  <c r="L59" i="8"/>
  <c r="N59" i="8" s="1"/>
  <c r="L69" i="8"/>
  <c r="N69" i="8" s="1"/>
  <c r="N14" i="6"/>
  <c r="N60" i="6"/>
  <c r="L22" i="5"/>
  <c r="N22" i="5" s="1"/>
  <c r="L33" i="5"/>
  <c r="N33" i="5" s="1"/>
  <c r="M33" i="5"/>
  <c r="O33" i="5" s="1"/>
  <c r="L54" i="5"/>
  <c r="N54" i="5" s="1"/>
  <c r="M54" i="5"/>
  <c r="O54" i="5" s="1"/>
  <c r="L28" i="6"/>
  <c r="N28" i="6" s="1"/>
  <c r="L8" i="5"/>
  <c r="N8" i="5" s="1"/>
  <c r="M75" i="5"/>
  <c r="O75" i="5" s="1"/>
  <c r="L75" i="5"/>
  <c r="N75" i="5" s="1"/>
  <c r="M60" i="6"/>
  <c r="O60" i="6" s="1"/>
  <c r="M85" i="5"/>
  <c r="O85" i="5" s="1"/>
  <c r="L85" i="5"/>
  <c r="N85" i="5" s="1"/>
  <c r="L18" i="5"/>
  <c r="N18" i="5" s="1"/>
  <c r="M8" i="6"/>
  <c r="O8" i="6" s="1"/>
  <c r="L8" i="6"/>
  <c r="N8" i="6" s="1"/>
  <c r="L43" i="5"/>
  <c r="N43" i="5" s="1"/>
  <c r="M43" i="5"/>
  <c r="O43" i="5" s="1"/>
  <c r="M64" i="5"/>
  <c r="O64" i="5" s="1"/>
  <c r="L64" i="5"/>
  <c r="N64" i="5" s="1"/>
  <c r="L17" i="6"/>
  <c r="N17" i="6" s="1"/>
  <c r="L39" i="6"/>
  <c r="N39" i="6" s="1"/>
  <c r="L49" i="6"/>
  <c r="N49" i="6" s="1"/>
  <c r="O13" i="5"/>
  <c r="O23" i="5"/>
  <c r="M18" i="6"/>
  <c r="O18" i="6" s="1"/>
  <c r="L18" i="6"/>
  <c r="N18" i="6" s="1"/>
  <c r="M29" i="6"/>
  <c r="O29" i="6" s="1"/>
  <c r="L29" i="6"/>
  <c r="N29" i="6" s="1"/>
  <c r="M40" i="6"/>
  <c r="O40" i="6" s="1"/>
  <c r="L40" i="6"/>
  <c r="N40" i="6" s="1"/>
  <c r="M50" i="6"/>
  <c r="O50" i="6" s="1"/>
  <c r="L50" i="6"/>
  <c r="N50" i="6" s="1"/>
  <c r="M61" i="6"/>
  <c r="O61" i="6" s="1"/>
  <c r="L61" i="6"/>
  <c r="N61" i="6" s="1"/>
  <c r="L4" i="6"/>
  <c r="N4" i="6" s="1"/>
  <c r="L14" i="6"/>
  <c r="M9" i="5"/>
  <c r="O9" i="5" s="1"/>
  <c r="L9" i="5"/>
  <c r="N9" i="5" s="1"/>
  <c r="L5" i="5"/>
  <c r="N5" i="5" s="1"/>
  <c r="M30" i="5"/>
  <c r="O30" i="5" s="1"/>
  <c r="L30" i="5"/>
  <c r="N30" i="5" s="1"/>
  <c r="O20" i="6"/>
  <c r="L25" i="6"/>
  <c r="N25" i="6" s="1"/>
  <c r="L35" i="6"/>
  <c r="N35" i="6" s="1"/>
  <c r="L46" i="6"/>
  <c r="N46" i="6" s="1"/>
  <c r="L57" i="6"/>
  <c r="N57" i="6" s="1"/>
  <c r="L67" i="6"/>
  <c r="N67" i="6" s="1"/>
  <c r="M19" i="5"/>
  <c r="O19" i="5" s="1"/>
  <c r="L19" i="5"/>
  <c r="N19" i="5" s="1"/>
  <c r="L26" i="5"/>
  <c r="N26" i="5" s="1"/>
  <c r="L21" i="5"/>
  <c r="N21" i="5" s="1"/>
  <c r="L36" i="5"/>
  <c r="N36" i="5" s="1"/>
  <c r="L47" i="5"/>
  <c r="N47" i="5" s="1"/>
  <c r="L57" i="5"/>
  <c r="N57" i="5" s="1"/>
  <c r="L67" i="5"/>
  <c r="N67" i="5" s="1"/>
  <c r="N78" i="5"/>
  <c r="N22" i="6"/>
  <c r="N43" i="6"/>
  <c r="N54" i="6"/>
  <c r="N64" i="6"/>
  <c r="L40" i="5"/>
  <c r="N40" i="5" s="1"/>
  <c r="L51" i="5"/>
  <c r="N51" i="5" s="1"/>
  <c r="L61" i="5"/>
  <c r="N61" i="5" s="1"/>
  <c r="L10" i="5"/>
  <c r="N10" i="5" s="1"/>
  <c r="L20" i="5"/>
  <c r="N20" i="5" s="1"/>
  <c r="L31" i="5"/>
  <c r="N31" i="5" s="1"/>
  <c r="L41" i="5"/>
  <c r="N41" i="5" s="1"/>
  <c r="L52" i="5"/>
  <c r="N52" i="5" s="1"/>
  <c r="L62" i="5"/>
  <c r="N62" i="5" s="1"/>
  <c r="L73" i="5"/>
  <c r="N73" i="5" s="1"/>
  <c r="L83" i="5"/>
  <c r="N83" i="5" s="1"/>
  <c r="L6" i="6"/>
  <c r="N6" i="6" s="1"/>
  <c r="L16" i="6"/>
  <c r="N16" i="6" s="1"/>
  <c r="L27" i="6"/>
  <c r="N27" i="6" s="1"/>
  <c r="L38" i="6"/>
  <c r="N38" i="6" s="1"/>
  <c r="L48" i="6"/>
  <c r="N48" i="6" s="1"/>
  <c r="L59" i="6"/>
  <c r="N59" i="6" s="1"/>
  <c r="L69" i="6"/>
  <c r="N69" i="6" s="1"/>
  <c r="L7" i="5"/>
  <c r="N7" i="5" s="1"/>
  <c r="L17" i="5"/>
  <c r="N17" i="5" s="1"/>
  <c r="L28" i="5"/>
  <c r="N28" i="5" s="1"/>
  <c r="L38" i="5"/>
  <c r="N38" i="5" s="1"/>
  <c r="L49" i="5"/>
  <c r="N49" i="5" s="1"/>
  <c r="L59" i="5"/>
  <c r="N59" i="5" s="1"/>
  <c r="L70" i="5"/>
  <c r="N70" i="5" s="1"/>
  <c r="L80" i="5"/>
  <c r="N80" i="5" s="1"/>
  <c r="L3" i="6"/>
  <c r="N3" i="6" s="1"/>
  <c r="L13" i="6"/>
  <c r="N13" i="6" s="1"/>
  <c r="L24" i="6"/>
  <c r="N24" i="6" s="1"/>
  <c r="L34" i="6"/>
  <c r="N34" i="6" s="1"/>
  <c r="L45" i="6"/>
  <c r="N45" i="6" s="1"/>
  <c r="L56" i="6"/>
  <c r="N56" i="6" s="1"/>
  <c r="L66" i="6"/>
  <c r="N66" i="6" s="1"/>
  <c r="M63" i="4"/>
  <c r="O63" i="4" s="1"/>
  <c r="M55" i="4"/>
  <c r="O55" i="4" s="1"/>
  <c r="M65" i="4"/>
  <c r="O65" i="4" s="1"/>
  <c r="L67" i="4"/>
  <c r="N67" i="4" s="1"/>
  <c r="O61" i="4"/>
  <c r="O62" i="4"/>
  <c r="O41" i="4"/>
  <c r="O49" i="4"/>
  <c r="M44" i="4"/>
  <c r="O44" i="4" s="1"/>
  <c r="L42" i="4"/>
  <c r="N42" i="4" s="1"/>
  <c r="L51" i="4"/>
  <c r="N51" i="4" s="1"/>
  <c r="L21" i="4"/>
  <c r="N21" i="4" s="1"/>
  <c r="O27" i="4"/>
  <c r="L20" i="4"/>
  <c r="N20" i="4" s="1"/>
  <c r="L30" i="4"/>
  <c r="N30" i="4" s="1"/>
  <c r="N23" i="4"/>
  <c r="M33" i="4"/>
  <c r="O33" i="4" s="1"/>
  <c r="O23" i="4"/>
  <c r="O26" i="4"/>
  <c r="O34" i="4"/>
  <c r="L10" i="4"/>
  <c r="N10" i="4" s="1"/>
  <c r="M12" i="4"/>
  <c r="O12" i="4" s="1"/>
  <c r="O5" i="4"/>
  <c r="O13" i="4"/>
  <c r="O8" i="4"/>
  <c r="O16" i="4"/>
  <c r="O9" i="4"/>
  <c r="N46" i="4"/>
  <c r="N35" i="4"/>
  <c r="N57" i="4"/>
  <c r="N14" i="4"/>
  <c r="N25" i="4"/>
  <c r="N43" i="4"/>
  <c r="L28" i="4"/>
  <c r="N28" i="4" s="1"/>
  <c r="L39" i="4"/>
  <c r="N39" i="4" s="1"/>
  <c r="L49" i="4"/>
  <c r="N49" i="4" s="1"/>
  <c r="L60" i="4"/>
  <c r="N60" i="4" s="1"/>
  <c r="M57" i="4"/>
  <c r="O57" i="4" s="1"/>
  <c r="L4" i="4"/>
  <c r="N4" i="4" s="1"/>
  <c r="M14" i="4"/>
  <c r="O14" i="4" s="1"/>
  <c r="M25" i="4"/>
  <c r="O25" i="4" s="1"/>
  <c r="M35" i="4"/>
  <c r="O35" i="4" s="1"/>
  <c r="M46" i="4"/>
  <c r="O46" i="4" s="1"/>
  <c r="L11" i="4"/>
  <c r="N11" i="4" s="1"/>
  <c r="L22" i="4"/>
  <c r="N22" i="4" s="1"/>
  <c r="L32" i="4"/>
  <c r="N32" i="4" s="1"/>
  <c r="L43" i="4"/>
  <c r="L54" i="4"/>
  <c r="N54" i="4" s="1"/>
  <c r="L64" i="4"/>
  <c r="N64" i="4" s="1"/>
  <c r="L8" i="4"/>
  <c r="N8" i="4" s="1"/>
  <c r="L18" i="4"/>
  <c r="N18" i="4" s="1"/>
  <c r="L29" i="4"/>
  <c r="N29" i="4" s="1"/>
  <c r="L40" i="4"/>
  <c r="N40" i="4" s="1"/>
  <c r="L50" i="4"/>
  <c r="N50" i="4" s="1"/>
  <c r="L61" i="4"/>
  <c r="N61" i="4" s="1"/>
  <c r="L7" i="4"/>
  <c r="N7" i="4" s="1"/>
  <c r="M17" i="4"/>
  <c r="O17" i="4" s="1"/>
  <c r="L5" i="4"/>
  <c r="N5" i="4" s="1"/>
  <c r="L15" i="4"/>
  <c r="N15" i="4" s="1"/>
  <c r="L26" i="4"/>
  <c r="N26" i="4" s="1"/>
  <c r="L37" i="4"/>
  <c r="N37" i="4" s="1"/>
  <c r="L47" i="4"/>
  <c r="N47" i="4" s="1"/>
  <c r="L58" i="4"/>
  <c r="N58" i="4" s="1"/>
  <c r="L68" i="4"/>
  <c r="N68" i="4" s="1"/>
  <c r="L6" i="4"/>
  <c r="N6" i="4" s="1"/>
  <c r="L16" i="4"/>
  <c r="N16" i="4" s="1"/>
  <c r="L27" i="4"/>
  <c r="N27" i="4" s="1"/>
  <c r="L38" i="4"/>
  <c r="N38" i="4" s="1"/>
  <c r="L48" i="4"/>
  <c r="N48" i="4" s="1"/>
  <c r="L59" i="4"/>
  <c r="N59" i="4" s="1"/>
  <c r="L69" i="4"/>
  <c r="N69" i="4" s="1"/>
  <c r="L3" i="4"/>
  <c r="N3" i="4" s="1"/>
  <c r="L13" i="4"/>
  <c r="N13" i="4" s="1"/>
  <c r="L24" i="4"/>
  <c r="N24" i="4" s="1"/>
  <c r="L34" i="4"/>
  <c r="N34" i="4" s="1"/>
  <c r="L45" i="4"/>
  <c r="N45" i="4" s="1"/>
  <c r="L56" i="4"/>
  <c r="N56" i="4" s="1"/>
  <c r="L66" i="4"/>
  <c r="N66" i="4" s="1"/>
  <c r="O40" i="3"/>
  <c r="O44" i="3"/>
  <c r="O81" i="3"/>
  <c r="N85" i="3"/>
  <c r="M85" i="3"/>
  <c r="O85" i="3" s="1"/>
  <c r="O86" i="3"/>
  <c r="O87" i="3"/>
  <c r="O70" i="3"/>
  <c r="O80" i="3"/>
  <c r="N54" i="3"/>
  <c r="N64" i="3"/>
  <c r="L51" i="3"/>
  <c r="N51" i="3" s="1"/>
  <c r="O59" i="3"/>
  <c r="O3" i="3"/>
  <c r="O4" i="3"/>
  <c r="L9" i="3"/>
  <c r="N9" i="3" s="1"/>
  <c r="L72" i="3"/>
  <c r="N72" i="3" s="1"/>
  <c r="L80" i="3"/>
  <c r="N80" i="3" s="1"/>
  <c r="L73" i="3"/>
  <c r="N73" i="3" s="1"/>
  <c r="L82" i="3"/>
  <c r="N82" i="3" s="1"/>
  <c r="M75" i="3"/>
  <c r="O75" i="3" s="1"/>
  <c r="L83" i="3"/>
  <c r="N83" i="3" s="1"/>
  <c r="M77" i="3"/>
  <c r="O77" i="3" s="1"/>
  <c r="L52" i="3"/>
  <c r="N52" i="3" s="1"/>
  <c r="O53" i="3"/>
  <c r="M54" i="3"/>
  <c r="O54" i="3" s="1"/>
  <c r="M62" i="3"/>
  <c r="O62" i="3" s="1"/>
  <c r="O51" i="3"/>
  <c r="L61" i="3"/>
  <c r="N61" i="3" s="1"/>
  <c r="L49" i="3"/>
  <c r="N49" i="3" s="1"/>
  <c r="M64" i="3"/>
  <c r="O64" i="3" s="1"/>
  <c r="M30" i="3"/>
  <c r="O30" i="3" s="1"/>
  <c r="M43" i="3"/>
  <c r="O43" i="3" s="1"/>
  <c r="N30" i="3"/>
  <c r="M31" i="3"/>
  <c r="O31" i="3" s="1"/>
  <c r="M25" i="3"/>
  <c r="O25" i="3" s="1"/>
  <c r="L41" i="3"/>
  <c r="N41" i="3" s="1"/>
  <c r="L40" i="3"/>
  <c r="N40" i="3" s="1"/>
  <c r="M33" i="3"/>
  <c r="O33" i="3" s="1"/>
  <c r="O34" i="3"/>
  <c r="L10" i="3"/>
  <c r="N10" i="3" s="1"/>
  <c r="M20" i="3"/>
  <c r="O20" i="3" s="1"/>
  <c r="N19" i="3"/>
  <c r="M19" i="3"/>
  <c r="O19" i="3" s="1"/>
  <c r="M66" i="3"/>
  <c r="O66" i="3" s="1"/>
  <c r="N37" i="3"/>
  <c r="L38" i="3"/>
  <c r="N38" i="3" s="1"/>
  <c r="N81" i="3"/>
  <c r="N79" i="3"/>
  <c r="L87" i="3"/>
  <c r="N87" i="3" s="1"/>
  <c r="M8" i="3"/>
  <c r="O8" i="3" s="1"/>
  <c r="L8" i="3"/>
  <c r="N8" i="3" s="1"/>
  <c r="M42" i="3"/>
  <c r="O42" i="3" s="1"/>
  <c r="L42" i="3"/>
  <c r="N42" i="3"/>
  <c r="L14" i="3"/>
  <c r="N14" i="3" s="1"/>
  <c r="N66" i="3"/>
  <c r="M84" i="3"/>
  <c r="O84" i="3" s="1"/>
  <c r="L84" i="3"/>
  <c r="N84" i="3"/>
  <c r="L32" i="3"/>
  <c r="N32" i="3" s="1"/>
  <c r="N50" i="3"/>
  <c r="L4" i="3"/>
  <c r="N4" i="3" s="1"/>
  <c r="N15" i="3"/>
  <c r="N67" i="3"/>
  <c r="L28" i="3"/>
  <c r="N28" i="3" s="1"/>
  <c r="M74" i="3"/>
  <c r="O74" i="3" s="1"/>
  <c r="L74" i="3"/>
  <c r="N74" i="3" s="1"/>
  <c r="M39" i="3"/>
  <c r="O39" i="3" s="1"/>
  <c r="L39" i="3"/>
  <c r="N39" i="3" s="1"/>
  <c r="L56" i="3"/>
  <c r="N56" i="3" s="1"/>
  <c r="L21" i="3"/>
  <c r="N21" i="3" s="1"/>
  <c r="N5" i="3"/>
  <c r="L17" i="3"/>
  <c r="N17" i="3" s="1"/>
  <c r="M29" i="3"/>
  <c r="O29" i="3" s="1"/>
  <c r="L29" i="3"/>
  <c r="N29" i="3" s="1"/>
  <c r="L45" i="3"/>
  <c r="N45" i="3" s="1"/>
  <c r="L70" i="3"/>
  <c r="N70" i="3" s="1"/>
  <c r="M63" i="3"/>
  <c r="O63" i="3" s="1"/>
  <c r="L63" i="3"/>
  <c r="N63" i="3" s="1"/>
  <c r="L11" i="3"/>
  <c r="N11" i="3" s="1"/>
  <c r="L7" i="3"/>
  <c r="N7" i="3" s="1"/>
  <c r="M18" i="3"/>
  <c r="O18" i="3" s="1"/>
  <c r="L18" i="3"/>
  <c r="L35" i="3"/>
  <c r="N35" i="3" s="1"/>
  <c r="N18" i="3"/>
  <c r="L59" i="3"/>
  <c r="N59" i="3" s="1"/>
  <c r="N77" i="3"/>
  <c r="L53" i="3"/>
  <c r="N53" i="3" s="1"/>
  <c r="N89" i="3"/>
  <c r="L71" i="3"/>
  <c r="N71" i="3" s="1"/>
  <c r="L26" i="3"/>
  <c r="N26" i="3" s="1"/>
  <c r="L36" i="3"/>
  <c r="N36" i="3" s="1"/>
  <c r="L47" i="3"/>
  <c r="N47" i="3" s="1"/>
  <c r="L57" i="3"/>
  <c r="N57" i="3" s="1"/>
  <c r="L67" i="3"/>
  <c r="L78" i="3"/>
  <c r="N78" i="3" s="1"/>
  <c r="L88" i="3"/>
  <c r="N88" i="3" s="1"/>
  <c r="M5" i="3"/>
  <c r="O5" i="3" s="1"/>
  <c r="M15" i="3"/>
  <c r="O15" i="3" s="1"/>
  <c r="L12" i="3"/>
  <c r="N12" i="3" s="1"/>
  <c r="L22" i="3"/>
  <c r="N22" i="3" s="1"/>
  <c r="L81" i="3"/>
  <c r="M50" i="3"/>
  <c r="O50" i="3" s="1"/>
  <c r="L6" i="3"/>
  <c r="N6" i="3" s="1"/>
  <c r="L16" i="3"/>
  <c r="N16" i="3" s="1"/>
  <c r="L27" i="3"/>
  <c r="N27" i="3" s="1"/>
  <c r="M37" i="3"/>
  <c r="O37" i="3" s="1"/>
  <c r="M79" i="3"/>
  <c r="O79" i="3" s="1"/>
  <c r="M89" i="3"/>
  <c r="O89" i="3" s="1"/>
  <c r="L3" i="3"/>
  <c r="N3" i="3" s="1"/>
  <c r="L13" i="3"/>
  <c r="N13" i="3" s="1"/>
  <c r="L23" i="3"/>
  <c r="N23" i="3" s="1"/>
  <c r="L34" i="3"/>
  <c r="N34" i="3" s="1"/>
  <c r="L44" i="3"/>
  <c r="N44" i="3" s="1"/>
  <c r="L55" i="3"/>
  <c r="N55" i="3" s="1"/>
  <c r="L65" i="3"/>
  <c r="N65" i="3" s="1"/>
  <c r="L76" i="3"/>
  <c r="N76" i="3" s="1"/>
  <c r="L86" i="3"/>
  <c r="N86" i="3" s="1"/>
  <c r="L60" i="3"/>
  <c r="N60" i="3" s="1"/>
  <c r="L48" i="3"/>
  <c r="N48" i="3" s="1"/>
  <c r="L58" i="3"/>
  <c r="N58" i="3" s="1"/>
  <c r="L69" i="3"/>
  <c r="N69" i="3" s="1"/>
  <c r="O27" i="2"/>
  <c r="O16" i="2"/>
  <c r="O63" i="2"/>
  <c r="O55" i="2"/>
  <c r="L25" i="2"/>
  <c r="N25" i="2" s="1"/>
  <c r="O17" i="2"/>
  <c r="L41" i="2"/>
  <c r="N41" i="2" s="1"/>
  <c r="M57" i="2"/>
  <c r="O57" i="2" s="1"/>
  <c r="O42" i="2"/>
  <c r="M52" i="2"/>
  <c r="O52" i="2" s="1"/>
  <c r="N52" i="2"/>
  <c r="M68" i="2"/>
  <c r="O68" i="2" s="1"/>
  <c r="M44" i="2"/>
  <c r="O44" i="2" s="1"/>
  <c r="M60" i="2"/>
  <c r="O60" i="2" s="1"/>
  <c r="M28" i="2"/>
  <c r="O28" i="2" s="1"/>
  <c r="N62" i="2"/>
  <c r="L10" i="2"/>
  <c r="N10" i="2" s="1"/>
  <c r="N7" i="2"/>
  <c r="L26" i="2"/>
  <c r="N26" i="2" s="1"/>
  <c r="L9" i="2"/>
  <c r="N9" i="2" s="1"/>
  <c r="L35" i="2"/>
  <c r="N35" i="2" s="1"/>
  <c r="M58" i="2"/>
  <c r="O58" i="2" s="1"/>
  <c r="L67" i="2"/>
  <c r="N67" i="2" s="1"/>
  <c r="O20" i="2"/>
  <c r="N28" i="2"/>
  <c r="N60" i="2"/>
  <c r="O3" i="2"/>
  <c r="O11" i="2"/>
  <c r="O29" i="2"/>
  <c r="O61" i="2"/>
  <c r="O69" i="2"/>
  <c r="L42" i="2"/>
  <c r="N42" i="2" s="1"/>
  <c r="N51" i="2"/>
  <c r="O13" i="2"/>
  <c r="O43" i="2"/>
  <c r="M51" i="2"/>
  <c r="O51" i="2" s="1"/>
  <c r="M12" i="2"/>
  <c r="O12" i="2" s="1"/>
  <c r="O6" i="2"/>
  <c r="N44" i="2"/>
  <c r="N14" i="2"/>
  <c r="O33" i="2"/>
  <c r="N57" i="2"/>
  <c r="O15" i="2"/>
  <c r="O37" i="2"/>
  <c r="O45" i="2"/>
  <c r="N30" i="2"/>
  <c r="N49" i="2"/>
  <c r="N23" i="2"/>
  <c r="N65" i="2"/>
  <c r="N55" i="2"/>
  <c r="N22" i="2"/>
  <c r="N59" i="2"/>
  <c r="L27" i="2"/>
  <c r="N27" i="2" s="1"/>
  <c r="L17" i="2"/>
  <c r="N17" i="2" s="1"/>
  <c r="M7" i="2"/>
  <c r="O7" i="2" s="1"/>
  <c r="M49" i="2"/>
  <c r="O49" i="2" s="1"/>
  <c r="M65" i="2"/>
  <c r="O65" i="2" s="1"/>
  <c r="M66" i="2"/>
  <c r="O66" i="2" s="1"/>
  <c r="L66" i="2"/>
  <c r="N66" i="2" s="1"/>
  <c r="L43" i="2"/>
  <c r="N43" i="2" s="1"/>
  <c r="L39" i="2"/>
  <c r="N39" i="2" s="1"/>
  <c r="L55" i="2"/>
  <c r="M23" i="2"/>
  <c r="O23" i="2" s="1"/>
  <c r="M18" i="2"/>
  <c r="O18" i="2" s="1"/>
  <c r="L18" i="2"/>
  <c r="N18" i="2" s="1"/>
  <c r="M56" i="2"/>
  <c r="O56" i="2" s="1"/>
  <c r="L56" i="2"/>
  <c r="N56" i="2" s="1"/>
  <c r="L4" i="2"/>
  <c r="N4" i="2" s="1"/>
  <c r="M30" i="2"/>
  <c r="O30" i="2" s="1"/>
  <c r="M62" i="2"/>
  <c r="O62" i="2" s="1"/>
  <c r="N48" i="2"/>
  <c r="N64" i="2"/>
  <c r="M8" i="2"/>
  <c r="O8" i="2" s="1"/>
  <c r="L8" i="2"/>
  <c r="N8" i="2" s="1"/>
  <c r="M40" i="2"/>
  <c r="O40" i="2" s="1"/>
  <c r="L40" i="2"/>
  <c r="N40" i="2" s="1"/>
  <c r="O25" i="2"/>
  <c r="N38" i="2"/>
  <c r="L11" i="2"/>
  <c r="N11" i="2" s="1"/>
  <c r="L69" i="2"/>
  <c r="N69" i="2" s="1"/>
  <c r="M59" i="2"/>
  <c r="O59" i="2" s="1"/>
  <c r="L33" i="2"/>
  <c r="N33" i="2" s="1"/>
  <c r="M24" i="2"/>
  <c r="O24" i="2" s="1"/>
  <c r="L24" i="2"/>
  <c r="N24" i="2" s="1"/>
  <c r="M50" i="2"/>
  <c r="O50" i="2" s="1"/>
  <c r="L50" i="2"/>
  <c r="N50" i="2" s="1"/>
  <c r="O9" i="2"/>
  <c r="L20" i="2"/>
  <c r="N20" i="2" s="1"/>
  <c r="O35" i="2"/>
  <c r="O41" i="2"/>
  <c r="M14" i="2"/>
  <c r="O14" i="2" s="1"/>
  <c r="M46" i="2"/>
  <c r="O46" i="2" s="1"/>
  <c r="N32" i="2"/>
  <c r="M34" i="2"/>
  <c r="O34" i="2" s="1"/>
  <c r="L34" i="2"/>
  <c r="N34" i="2" s="1"/>
  <c r="L5" i="2"/>
  <c r="N5" i="2" s="1"/>
  <c r="L15" i="2"/>
  <c r="N15" i="2" s="1"/>
  <c r="L21" i="2"/>
  <c r="N21" i="2" s="1"/>
  <c r="L31" i="2"/>
  <c r="N31" i="2" s="1"/>
  <c r="L37" i="2"/>
  <c r="N37" i="2" s="1"/>
  <c r="L47" i="2"/>
  <c r="N47" i="2" s="1"/>
  <c r="L63" i="2"/>
  <c r="N63" i="2" s="1"/>
  <c r="L6" i="2"/>
  <c r="N6" i="2" s="1"/>
  <c r="L16" i="2"/>
  <c r="N16" i="2" s="1"/>
  <c r="L54" i="2"/>
  <c r="N54" i="2" s="1"/>
  <c r="M22" i="2"/>
  <c r="O22" i="2" s="1"/>
  <c r="M32" i="2"/>
  <c r="O32" i="2" s="1"/>
  <c r="M38" i="2"/>
  <c r="O38" i="2" s="1"/>
  <c r="M48" i="2"/>
  <c r="O48" i="2" s="1"/>
  <c r="M64" i="2"/>
  <c r="O64" i="2" s="1"/>
  <c r="L3" i="2"/>
  <c r="N3" i="2" s="1"/>
  <c r="L13" i="2"/>
  <c r="N13" i="2" s="1"/>
  <c r="L29" i="2"/>
  <c r="N29" i="2" s="1"/>
  <c r="L45" i="2"/>
  <c r="N45" i="2" s="1"/>
  <c r="L61" i="2"/>
  <c r="N61" i="2" s="1"/>
  <c r="O88" i="1"/>
  <c r="N47" i="1"/>
  <c r="O69" i="1"/>
  <c r="O3" i="1"/>
  <c r="L3" i="1"/>
  <c r="N3" i="1" s="1"/>
  <c r="M47" i="1"/>
  <c r="O47" i="1" s="1"/>
  <c r="L64" i="1"/>
  <c r="N64" i="1" s="1"/>
  <c r="N20" i="1"/>
  <c r="N19" i="1"/>
  <c r="M66" i="1"/>
  <c r="O66" i="1" s="1"/>
  <c r="M22" i="1"/>
  <c r="O22" i="1" s="1"/>
  <c r="L88" i="1"/>
  <c r="N88" i="1" s="1"/>
  <c r="M86" i="1"/>
  <c r="O86" i="1" s="1"/>
  <c r="N43" i="1"/>
  <c r="N22" i="1"/>
  <c r="M21" i="1"/>
  <c r="O21" i="1" s="1"/>
  <c r="N86" i="1"/>
  <c r="N63" i="1"/>
  <c r="N89" i="1"/>
  <c r="M87" i="1"/>
  <c r="O87" i="1" s="1"/>
  <c r="N85" i="1"/>
  <c r="N67" i="1"/>
  <c r="O64" i="1"/>
  <c r="O23" i="1"/>
  <c r="N21" i="1"/>
  <c r="N66" i="1"/>
  <c r="N87" i="1"/>
  <c r="L23" i="1"/>
  <c r="N23" i="1" s="1"/>
  <c r="M19" i="1"/>
  <c r="O19" i="1" s="1"/>
  <c r="M20" i="1"/>
  <c r="O20" i="1" s="1"/>
  <c r="M89" i="1"/>
  <c r="O89" i="1" s="1"/>
  <c r="M85" i="1"/>
  <c r="O85" i="1" s="1"/>
  <c r="N65" i="1"/>
  <c r="M65" i="1"/>
  <c r="O65" i="1" s="1"/>
  <c r="M67" i="1"/>
  <c r="O67" i="1" s="1"/>
  <c r="M63" i="1"/>
  <c r="O63" i="1" s="1"/>
  <c r="N44" i="1"/>
  <c r="M43" i="1"/>
  <c r="O43" i="1" s="1"/>
  <c r="N41" i="1"/>
  <c r="N45" i="1"/>
  <c r="M44" i="1"/>
  <c r="O44" i="1" s="1"/>
  <c r="N42" i="1"/>
  <c r="M45" i="1"/>
  <c r="O45" i="1" s="1"/>
  <c r="M41" i="1"/>
  <c r="O41" i="1" s="1"/>
  <c r="M42" i="1"/>
  <c r="O42" i="1" s="1"/>
  <c r="L36" i="1"/>
  <c r="N36" i="1" s="1"/>
  <c r="L35" i="1"/>
  <c r="N35" i="1" s="1"/>
  <c r="M80" i="1"/>
  <c r="O80" i="1" s="1"/>
  <c r="M71" i="1"/>
  <c r="O71" i="1" s="1"/>
  <c r="L61" i="1"/>
  <c r="N61" i="1" s="1"/>
  <c r="M61" i="1"/>
  <c r="O61" i="1" s="1"/>
  <c r="L25" i="1"/>
  <c r="N25" i="1" s="1"/>
  <c r="M25" i="1"/>
  <c r="O25" i="1" s="1"/>
  <c r="M8" i="1"/>
  <c r="O8" i="1" s="1"/>
  <c r="L29" i="1"/>
  <c r="N29" i="1" s="1"/>
  <c r="L16" i="1"/>
  <c r="N16" i="1" s="1"/>
  <c r="L14" i="1"/>
  <c r="N14" i="1" s="1"/>
  <c r="O15" i="1"/>
  <c r="M83" i="1"/>
  <c r="O83" i="1" s="1"/>
  <c r="N80" i="1"/>
  <c r="M7" i="1"/>
  <c r="O7" i="1" s="1"/>
  <c r="N13" i="1"/>
  <c r="M28" i="1"/>
  <c r="O28" i="1" s="1"/>
  <c r="O4" i="1"/>
  <c r="O70" i="1"/>
  <c r="L34" i="1"/>
  <c r="N34" i="1" s="1"/>
  <c r="L15" i="1"/>
  <c r="N15" i="1" s="1"/>
  <c r="M6" i="1"/>
  <c r="O6" i="1" s="1"/>
  <c r="M79" i="1"/>
  <c r="O79" i="1" s="1"/>
  <c r="L73" i="1"/>
  <c r="N73" i="1" s="1"/>
  <c r="N77" i="1"/>
  <c r="O33" i="1"/>
  <c r="O5" i="1"/>
  <c r="L72" i="1"/>
  <c r="N72" i="1" s="1"/>
  <c r="O16" i="1"/>
  <c r="N83" i="1"/>
  <c r="O75" i="1"/>
  <c r="L70" i="1"/>
  <c r="N70" i="1" s="1"/>
  <c r="L33" i="1"/>
  <c r="N33" i="1" s="1"/>
  <c r="N8" i="1"/>
  <c r="L5" i="1"/>
  <c r="N5" i="1" s="1"/>
  <c r="O62" i="1"/>
  <c r="M78" i="1"/>
  <c r="O78" i="1" s="1"/>
  <c r="O34" i="1"/>
  <c r="M13" i="1"/>
  <c r="O13" i="1" s="1"/>
  <c r="M17" i="1"/>
  <c r="O17" i="1" s="1"/>
  <c r="O73" i="1"/>
  <c r="O29" i="1"/>
  <c r="M26" i="1"/>
  <c r="O26" i="1" s="1"/>
  <c r="L75" i="1"/>
  <c r="N75" i="1" s="1"/>
  <c r="M11" i="1"/>
  <c r="O11" i="1" s="1"/>
  <c r="N28" i="1"/>
  <c r="N39" i="1"/>
  <c r="M10" i="1"/>
  <c r="O10" i="1" s="1"/>
  <c r="M76" i="1"/>
  <c r="O76" i="1" s="1"/>
  <c r="N11" i="1"/>
  <c r="N58" i="1"/>
  <c r="N71" i="1"/>
  <c r="M18" i="1"/>
  <c r="O18" i="1" s="1"/>
  <c r="M27" i="1"/>
  <c r="O27" i="1" s="1"/>
  <c r="M37" i="1"/>
  <c r="O37" i="1" s="1"/>
  <c r="N7" i="1"/>
  <c r="M81" i="1"/>
  <c r="O81" i="1" s="1"/>
  <c r="L62" i="1"/>
  <c r="N62" i="1" s="1"/>
  <c r="M39" i="1"/>
  <c r="O39" i="1" s="1"/>
  <c r="N54" i="1"/>
  <c r="L4" i="1"/>
  <c r="N4" i="1" s="1"/>
  <c r="N50" i="1"/>
  <c r="N37" i="1"/>
  <c r="O35" i="1"/>
  <c r="M84" i="1"/>
  <c r="O84" i="1" s="1"/>
  <c r="N79" i="1"/>
  <c r="M40" i="1"/>
  <c r="O40" i="1" s="1"/>
  <c r="N38" i="1"/>
  <c r="N30" i="1"/>
  <c r="M58" i="1"/>
  <c r="O58" i="1" s="1"/>
  <c r="M56" i="1"/>
  <c r="O56" i="1" s="1"/>
  <c r="M54" i="1"/>
  <c r="O54" i="1" s="1"/>
  <c r="M52" i="1"/>
  <c r="O52" i="1" s="1"/>
  <c r="M50" i="1"/>
  <c r="O50" i="1" s="1"/>
  <c r="M48" i="1"/>
  <c r="O48" i="1" s="1"/>
  <c r="M60" i="1"/>
  <c r="O60" i="1" s="1"/>
  <c r="N49" i="1"/>
  <c r="M32" i="1"/>
  <c r="O32" i="1" s="1"/>
  <c r="N56" i="1"/>
  <c r="N52" i="1"/>
  <c r="N48" i="1"/>
  <c r="N53" i="1"/>
  <c r="M31" i="1"/>
  <c r="O31" i="1" s="1"/>
  <c r="M12" i="1"/>
  <c r="O12" i="1" s="1"/>
  <c r="N78" i="1"/>
  <c r="O72" i="1"/>
  <c r="M77" i="1"/>
  <c r="O77" i="1" s="1"/>
  <c r="M57" i="1"/>
  <c r="O57" i="1" s="1"/>
  <c r="M53" i="1"/>
  <c r="O53" i="1" s="1"/>
  <c r="M49" i="1"/>
  <c r="O49" i="1" s="1"/>
  <c r="N57" i="1"/>
  <c r="N27" i="1"/>
  <c r="O36" i="1"/>
  <c r="N12" i="1"/>
  <c r="N10" i="1"/>
  <c r="N60" i="1"/>
  <c r="N59" i="1"/>
  <c r="N55" i="1"/>
  <c r="N51" i="1"/>
  <c r="M59" i="1"/>
  <c r="O59" i="1" s="1"/>
  <c r="M55" i="1"/>
  <c r="O55" i="1" s="1"/>
  <c r="M51" i="1"/>
  <c r="O51" i="1" s="1"/>
  <c r="N40" i="1"/>
  <c r="N31" i="1"/>
  <c r="M82" i="1"/>
  <c r="O82" i="1" s="1"/>
  <c r="N74" i="1"/>
  <c r="N17" i="1"/>
  <c r="N32" i="1"/>
  <c r="N6" i="1"/>
  <c r="M30" i="1"/>
  <c r="O30" i="1" s="1"/>
  <c r="N26" i="1"/>
  <c r="N84" i="1"/>
  <c r="N82" i="1"/>
  <c r="M38" i="1"/>
  <c r="O38" i="1" s="1"/>
  <c r="M9" i="1"/>
  <c r="O9" i="1" s="1"/>
  <c r="M74" i="1"/>
  <c r="O74" i="1" s="1"/>
  <c r="N9" i="1"/>
  <c r="N76" i="1"/>
  <c r="N18" i="1"/>
  <c r="N81" i="1"/>
  <c r="O14" i="1"/>
</calcChain>
</file>

<file path=xl/sharedStrings.xml><?xml version="1.0" encoding="utf-8"?>
<sst xmlns="http://schemas.openxmlformats.org/spreadsheetml/2006/main" count="316" uniqueCount="28">
  <si>
    <t>Length</t>
  </si>
  <si>
    <t>num_trials</t>
  </si>
  <si>
    <t>sd_mean</t>
  </si>
  <si>
    <t>dwell_mean</t>
  </si>
  <si>
    <t>time</t>
  </si>
  <si>
    <t>mean edit</t>
  </si>
  <si>
    <t>sd edit</t>
  </si>
  <si>
    <t>sd_pop</t>
  </si>
  <si>
    <t>Q</t>
  </si>
  <si>
    <t>Q_lower</t>
  </si>
  <si>
    <t>Q_upper</t>
  </si>
  <si>
    <t>Q_down</t>
  </si>
  <si>
    <t>Q_up</t>
  </si>
  <si>
    <t>Codebook 1</t>
  </si>
  <si>
    <t>Codebook</t>
  </si>
  <si>
    <t>Codebook 2</t>
  </si>
  <si>
    <t>Codebook 3</t>
  </si>
  <si>
    <t>Codebook 4</t>
  </si>
  <si>
    <t>Codebooks</t>
  </si>
  <si>
    <t>Padding</t>
  </si>
  <si>
    <t>A</t>
  </si>
  <si>
    <t>G</t>
  </si>
  <si>
    <t>C</t>
  </si>
  <si>
    <t>T</t>
  </si>
  <si>
    <t>mean</t>
  </si>
  <si>
    <t>sd</t>
  </si>
  <si>
    <t>K</t>
  </si>
  <si>
    <t>K'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</si>
</sst>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#,##0.0000"/>
    <numFmt numFmtId="165" formatCode="#,##0.000"/>
  </numFmts>
  <fonts count="2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</font>
  </fonts>
  <fills count="4">
    <fill>
      <patternFill patternType="none"/>
    </fill>
    <fill>
      <patternFill patternType="gray125"/>
    </fill>
    <fill>
      <patternFill patternType="solid">
        <fgColor theme="7" tint="0.79998168889431442"/>
        <bgColor indexed="64"/>
      </patternFill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0"/>
  </cellStyleXfs>
  <cellXfs count="17">
    <xf numFmtId="0" fontId="0" fillId="0" borderId="0" xfId="0"/>
    <xf numFmtId="3" fontId="0" fillId="0" borderId="0" xfId="0" applyNumberFormat="1" applyAlignment="1">
      <alignment horizontal="right"/>
    </xf>
    <xf numFmtId="4" fontId="0" fillId="0" borderId="0" xfId="0" applyNumberFormat="1" applyAlignment="1">
      <alignment horizontal="right"/>
    </xf>
    <xf numFmtId="3" fontId="1" fillId="0" borderId="1" xfId="0" applyNumberFormat="1" applyFont="1" applyBorder="1" applyAlignment="1">
      <alignment horizontal="right"/>
    </xf>
    <xf numFmtId="4" fontId="1" fillId="0" borderId="1" xfId="0" applyNumberFormat="1" applyFont="1" applyBorder="1" applyAlignment="1">
      <alignment horizontal="right"/>
    </xf>
    <xf numFmtId="164" fontId="1" fillId="0" borderId="1" xfId="0" applyNumberFormat="1" applyFont="1" applyBorder="1" applyAlignment="1">
      <alignment horizontal="right"/>
    </xf>
    <xf numFmtId="0" fontId="0" fillId="0" borderId="0" xfId="0" applyAlignment="1">
      <alignment horizontal="center"/>
    </xf>
    <xf numFmtId="3" fontId="0" fillId="2" borderId="0" xfId="0" applyNumberFormat="1" applyFill="1" applyAlignment="1">
      <alignment horizontal="right"/>
    </xf>
    <xf numFmtId="4" fontId="0" fillId="2" borderId="0" xfId="0" applyNumberFormat="1" applyFill="1" applyAlignment="1">
      <alignment horizontal="right"/>
    </xf>
    <xf numFmtId="4" fontId="1" fillId="2" borderId="1" xfId="0" applyNumberFormat="1" applyFont="1" applyFill="1" applyBorder="1" applyAlignment="1">
      <alignment horizontal="right"/>
    </xf>
    <xf numFmtId="164" fontId="1" fillId="2" borderId="1" xfId="0" applyNumberFormat="1" applyFont="1" applyFill="1" applyBorder="1" applyAlignment="1">
      <alignment horizontal="right"/>
    </xf>
    <xf numFmtId="3" fontId="0" fillId="3" borderId="0" xfId="0" applyNumberFormat="1" applyFill="1" applyAlignment="1">
      <alignment horizontal="center"/>
    </xf>
    <xf numFmtId="4" fontId="0" fillId="3" borderId="0" xfId="0" applyNumberFormat="1" applyFill="1" applyAlignment="1">
      <alignment horizontal="center"/>
    </xf>
    <xf numFmtId="3" fontId="0" fillId="2" borderId="0" xfId="0" applyNumberFormat="1" applyFill="1" applyAlignment="1">
      <alignment horizontal="center"/>
    </xf>
    <xf numFmtId="165" fontId="1" fillId="0" borderId="1" xfId="0" applyNumberFormat="1" applyFont="1" applyBorder="1" applyAlignment="1">
      <alignment horizontal="right"/>
    </xf>
    <xf numFmtId="4" fontId="0" fillId="3" borderId="0" xfId="0" applyNumberFormat="1" applyFill="1" applyAlignment="1">
      <alignment horizontal="right"/>
    </xf>
    <xf numFmtId="0" fontId="0" fillId="3" borderId="0" xfId="0" applyFill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_rels/chart13.xml.rels><?xml version="1.0" encoding="UTF-8" standalone="yes"?>
<Relationships xmlns="http://schemas.openxmlformats.org/package/2006/relationships"><Relationship Id="rId2" Type="http://schemas.microsoft.com/office/2011/relationships/chartColorStyle" Target="colors13.xml"/><Relationship Id="rId1" Type="http://schemas.microsoft.com/office/2011/relationships/chartStyle" Target="style13.xml"/></Relationships>
</file>

<file path=xl/charts/_rels/chart14.xml.rels><?xml version="1.0" encoding="UTF-8" standalone="yes"?>
<Relationships xmlns="http://schemas.openxmlformats.org/package/2006/relationships"><Relationship Id="rId2" Type="http://schemas.microsoft.com/office/2011/relationships/chartColorStyle" Target="colors14.xml"/><Relationship Id="rId1" Type="http://schemas.microsoft.com/office/2011/relationships/chartStyle" Target="style14.xml"/></Relationships>
</file>

<file path=xl/charts/_rels/chart15.xml.rels><?xml version="1.0" encoding="UTF-8" standalone="yes"?>
<Relationships xmlns="http://schemas.openxmlformats.org/package/2006/relationships"><Relationship Id="rId2" Type="http://schemas.microsoft.com/office/2011/relationships/chartColorStyle" Target="colors15.xml"/><Relationship Id="rId1" Type="http://schemas.microsoft.com/office/2011/relationships/chartStyle" Target="style15.xml"/></Relationships>
</file>

<file path=xl/charts/_rels/chart16.xml.rels><?xml version="1.0" encoding="UTF-8" standalone="yes"?>
<Relationships xmlns="http://schemas.openxmlformats.org/package/2006/relationships"><Relationship Id="rId2" Type="http://schemas.microsoft.com/office/2011/relationships/chartColorStyle" Target="colors16.xml"/><Relationship Id="rId1" Type="http://schemas.microsoft.com/office/2011/relationships/chartStyle" Target="style16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AU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Quality score vs. </a:t>
            </a:r>
            <a:r>
              <a:rPr lang="en-AU" sz="1400" b="0" i="1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cs typeface="Times New Roman" panose="02020603050405020304" pitchFamily="18" charset="0"/>
              </a:rPr>
              <a:t>σ</a:t>
            </a:r>
            <a:r>
              <a:rPr lang="en-AU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cs typeface="Times New Roman" panose="02020603050405020304" pitchFamily="18" charset="0"/>
              </a:rPr>
              <a:t> : Scrappie R9</a:t>
            </a:r>
            <a:endParaRPr lang="en-AU" sz="1400" b="0" i="0" u="none" strike="noStrike" kern="1200" spc="0" baseline="0">
              <a:solidFill>
                <a:sysClr val="windowText" lastClr="000000">
                  <a:lumMod val="65000"/>
                  <a:lumOff val="35000"/>
                </a:sysClr>
              </a:solidFill>
            </a:endParaRPr>
          </a:p>
        </c:rich>
      </c:tx>
      <c:layout>
        <c:manualLayout>
          <c:xMode val="edge"/>
          <c:yMode val="edge"/>
          <c:x val="0.27445146278361854"/>
          <c:y val="3.2615657920790887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1368158226066076"/>
          <c:y val="0.15826550596557501"/>
          <c:w val="0.66061018822016926"/>
          <c:h val="0.65642128030386226"/>
        </c:manualLayout>
      </c:layout>
      <c:scatterChart>
        <c:scatterStyle val="lineMarker"/>
        <c:varyColors val="0"/>
        <c:ser>
          <c:idx val="1"/>
          <c:order val="0"/>
          <c:tx>
            <c:v>Codebook 1</c:v>
          </c:tx>
          <c:spPr>
            <a:ln w="19050" cap="rnd">
              <a:solidFill>
                <a:srgbClr val="FF0000"/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rgbClr val="FF0000"/>
              </a:solidFill>
              <a:ln w="9525">
                <a:solidFill>
                  <a:srgbClr val="FF0000"/>
                </a:solidFill>
              </a:ln>
              <a:effectLst/>
            </c:spPr>
          </c:marker>
          <c:errBars>
            <c:errDir val="x"/>
            <c:errBarType val="both"/>
            <c:errValType val="stdErr"/>
            <c:noEndCap val="0"/>
            <c:spPr>
              <a:noFill/>
              <a:ln w="9525" cap="flat" cmpd="sng" algn="ctr">
                <a:noFill/>
                <a:round/>
              </a:ln>
              <a:effectLst/>
            </c:spPr>
          </c:errBars>
          <c:errBars>
            <c:errDir val="y"/>
            <c:errBarType val="both"/>
            <c:errValType val="cust"/>
            <c:noEndCap val="0"/>
            <c:plus>
              <c:numRef>
                <c:f>'Ex X sd'!$O$3:$O$23</c:f>
                <c:numCache>
                  <c:formatCode>General</c:formatCode>
                  <c:ptCount val="21"/>
                  <c:pt idx="0">
                    <c:v>1.7114050590327778E-2</c:v>
                  </c:pt>
                  <c:pt idx="1">
                    <c:v>1.6950844852376967E-2</c:v>
                  </c:pt>
                  <c:pt idx="2">
                    <c:v>1.8660680679946307E-2</c:v>
                  </c:pt>
                  <c:pt idx="3">
                    <c:v>2.3257400597030742E-2</c:v>
                  </c:pt>
                  <c:pt idx="4">
                    <c:v>3.6885387066245334E-2</c:v>
                  </c:pt>
                  <c:pt idx="5">
                    <c:v>0.21433576650172803</c:v>
                  </c:pt>
                  <c:pt idx="6">
                    <c:v>0.11015387791656295</c:v>
                  </c:pt>
                  <c:pt idx="7">
                    <c:v>8.8067849343907767E-2</c:v>
                  </c:pt>
                  <c:pt idx="8">
                    <c:v>8.2252054629982752E-2</c:v>
                  </c:pt>
                  <c:pt idx="9">
                    <c:v>7.1200044928034778E-2</c:v>
                  </c:pt>
                  <c:pt idx="10">
                    <c:v>6.9436192337708036E-2</c:v>
                  </c:pt>
                  <c:pt idx="11">
                    <c:v>7.0249248541820464E-2</c:v>
                  </c:pt>
                  <c:pt idx="12">
                    <c:v>6.6795018536149442E-2</c:v>
                  </c:pt>
                  <c:pt idx="13">
                    <c:v>7.5061855302982039E-2</c:v>
                  </c:pt>
                  <c:pt idx="14">
                    <c:v>7.2814460173103335E-2</c:v>
                  </c:pt>
                  <c:pt idx="15">
                    <c:v>7.6154274498751562E-2</c:v>
                  </c:pt>
                  <c:pt idx="16">
                    <c:v>7.4719528358529352E-2</c:v>
                  </c:pt>
                  <c:pt idx="17">
                    <c:v>6.4488553353907463E-2</c:v>
                  </c:pt>
                  <c:pt idx="18">
                    <c:v>5.1500143755644157E-2</c:v>
                  </c:pt>
                  <c:pt idx="19">
                    <c:v>4.6395932621867697E-2</c:v>
                  </c:pt>
                  <c:pt idx="20">
                    <c:v>4.0212519527904611E-2</c:v>
                  </c:pt>
                </c:numCache>
              </c:numRef>
            </c:plus>
            <c:minus>
              <c:numRef>
                <c:f>'Ex X sd'!$N$3:$N$23</c:f>
                <c:numCache>
                  <c:formatCode>General</c:formatCode>
                  <c:ptCount val="21"/>
                  <c:pt idx="0">
                    <c:v>1.7046874638714016E-2</c:v>
                  </c:pt>
                  <c:pt idx="1">
                    <c:v>1.6884941554386135E-2</c:v>
                  </c:pt>
                  <c:pt idx="2">
                    <c:v>1.8580842754523319E-2</c:v>
                  </c:pt>
                  <c:pt idx="3">
                    <c:v>2.3133515368111146E-2</c:v>
                  </c:pt>
                  <c:pt idx="4">
                    <c:v>3.6574749494413306E-2</c:v>
                  </c:pt>
                  <c:pt idx="5">
                    <c:v>0.20425337448381509</c:v>
                  </c:pt>
                  <c:pt idx="6">
                    <c:v>0.10742892246959279</c:v>
                  </c:pt>
                  <c:pt idx="7">
                    <c:v>8.6317413949076993E-2</c:v>
                  </c:pt>
                  <c:pt idx="8">
                    <c:v>8.0723174567830291E-2</c:v>
                  </c:pt>
                  <c:pt idx="9">
                    <c:v>7.0051565105266E-2</c:v>
                  </c:pt>
                  <c:pt idx="10">
                    <c:v>6.8343475209889704E-2</c:v>
                  </c:pt>
                  <c:pt idx="11">
                    <c:v>6.9130996987785132E-2</c:v>
                  </c:pt>
                  <c:pt idx="12">
                    <c:v>6.5783244606134161E-2</c:v>
                  </c:pt>
                  <c:pt idx="13">
                    <c:v>7.3786525030644867E-2</c:v>
                  </c:pt>
                  <c:pt idx="14">
                    <c:v>7.1613745774165238E-2</c:v>
                  </c:pt>
                  <c:pt idx="15">
                    <c:v>7.4841876444694755E-2</c:v>
                  </c:pt>
                  <c:pt idx="16">
                    <c:v>7.3455706443206203E-2</c:v>
                  </c:pt>
                  <c:pt idx="17">
                    <c:v>6.354495481064415E-2</c:v>
                  </c:pt>
                  <c:pt idx="18">
                    <c:v>5.0896587405424576E-2</c:v>
                  </c:pt>
                  <c:pt idx="19">
                    <c:v>4.5905516696638671E-2</c:v>
                  </c:pt>
                  <c:pt idx="20">
                    <c:v>3.9843594129176818E-2</c:v>
                  </c:pt>
                </c:numCache>
              </c:numRef>
            </c:minus>
            <c:spPr>
              <a:noFill/>
              <a:ln w="9525" cap="flat" cmpd="sng" algn="ctr">
                <a:solidFill>
                  <a:schemeClr val="tx1">
                    <a:lumMod val="65000"/>
                    <a:lumOff val="35000"/>
                  </a:schemeClr>
                </a:solidFill>
                <a:round/>
              </a:ln>
              <a:effectLst/>
            </c:spPr>
          </c:errBars>
          <c:xVal>
            <c:numRef>
              <c:f>'Ex X sd'!$D$3:$D$23</c:f>
              <c:numCache>
                <c:formatCode>#,##0.00</c:formatCode>
                <c:ptCount val="21"/>
                <c:pt idx="0">
                  <c:v>0</c:v>
                </c:pt>
                <c:pt idx="1">
                  <c:v>0.01</c:v>
                </c:pt>
                <c:pt idx="2">
                  <c:v>0.02</c:v>
                </c:pt>
                <c:pt idx="3">
                  <c:v>0.03</c:v>
                </c:pt>
                <c:pt idx="4">
                  <c:v>0.04</c:v>
                </c:pt>
                <c:pt idx="5">
                  <c:v>0.05</c:v>
                </c:pt>
                <c:pt idx="6">
                  <c:v>0.06</c:v>
                </c:pt>
                <c:pt idx="7">
                  <c:v>7.0000000000000007E-2</c:v>
                </c:pt>
                <c:pt idx="8">
                  <c:v>0.08</c:v>
                </c:pt>
                <c:pt idx="9">
                  <c:v>0.09</c:v>
                </c:pt>
                <c:pt idx="10">
                  <c:v>0.1</c:v>
                </c:pt>
                <c:pt idx="11">
                  <c:v>0.11</c:v>
                </c:pt>
                <c:pt idx="12">
                  <c:v>0.12</c:v>
                </c:pt>
                <c:pt idx="13">
                  <c:v>0.13</c:v>
                </c:pt>
                <c:pt idx="14">
                  <c:v>0.14000000000000001</c:v>
                </c:pt>
                <c:pt idx="15">
                  <c:v>0.15</c:v>
                </c:pt>
                <c:pt idx="16">
                  <c:v>0.16</c:v>
                </c:pt>
                <c:pt idx="17">
                  <c:v>0.17</c:v>
                </c:pt>
                <c:pt idx="18">
                  <c:v>0.18</c:v>
                </c:pt>
                <c:pt idx="19">
                  <c:v>0.19</c:v>
                </c:pt>
                <c:pt idx="20">
                  <c:v>0.2</c:v>
                </c:pt>
              </c:numCache>
            </c:numRef>
          </c:xVal>
          <c:yVal>
            <c:numRef>
              <c:f>'Ex X sd'!$K$3:$K$23</c:f>
              <c:numCache>
                <c:formatCode>#,##0.0000</c:formatCode>
                <c:ptCount val="21"/>
                <c:pt idx="0">
                  <c:v>1.9918147151485939</c:v>
                </c:pt>
                <c:pt idx="1">
                  <c:v>1.9388075376310447</c:v>
                </c:pt>
                <c:pt idx="2">
                  <c:v>1.8238878985092835</c:v>
                </c:pt>
                <c:pt idx="3">
                  <c:v>1.7132280571975</c:v>
                </c:pt>
                <c:pt idx="4">
                  <c:v>1.8318799611595924</c:v>
                </c:pt>
                <c:pt idx="5">
                  <c:v>6.4913650819053572</c:v>
                </c:pt>
                <c:pt idx="6">
                  <c:v>8.0156434123625271</c:v>
                </c:pt>
                <c:pt idx="7">
                  <c:v>8.0607894183030862</c:v>
                </c:pt>
                <c:pt idx="8">
                  <c:v>7.9466724224179117</c:v>
                </c:pt>
                <c:pt idx="9">
                  <c:v>7.5394667766262016</c:v>
                </c:pt>
                <c:pt idx="10">
                  <c:v>7.15153075915768</c:v>
                </c:pt>
                <c:pt idx="11">
                  <c:v>6.8173118795643886</c:v>
                </c:pt>
                <c:pt idx="12">
                  <c:v>6.383144084726796</c:v>
                </c:pt>
                <c:pt idx="13">
                  <c:v>5.8847821583723743</c:v>
                </c:pt>
                <c:pt idx="14">
                  <c:v>5.2577069483065921</c:v>
                </c:pt>
                <c:pt idx="15">
                  <c:v>4.7709210841705074</c:v>
                </c:pt>
                <c:pt idx="16">
                  <c:v>4.3982848048668863</c:v>
                </c:pt>
                <c:pt idx="17">
                  <c:v>4.0876104253538807</c:v>
                </c:pt>
                <c:pt idx="18">
                  <c:v>3.8515938431647028</c:v>
                </c:pt>
                <c:pt idx="19">
                  <c:v>3.690695627040987</c:v>
                </c:pt>
                <c:pt idx="20">
                  <c:v>3.6477271701190594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37DE-47FD-9785-6A8541AACEF1}"/>
            </c:ext>
          </c:extLst>
        </c:ser>
        <c:ser>
          <c:idx val="0"/>
          <c:order val="1"/>
          <c:tx>
            <c:v>Codebook 2</c:v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errBars>
            <c:errDir val="x"/>
            <c:errBarType val="both"/>
            <c:errValType val="stdErr"/>
            <c:noEndCap val="0"/>
            <c:spPr>
              <a:noFill/>
              <a:ln w="9525" cap="flat" cmpd="sng" algn="ctr">
                <a:noFill/>
                <a:round/>
              </a:ln>
              <a:effectLst/>
            </c:spPr>
          </c:errBars>
          <c:errBars>
            <c:errDir val="y"/>
            <c:errBarType val="both"/>
            <c:errValType val="cust"/>
            <c:noEndCap val="0"/>
            <c:plus>
              <c:numRef>
                <c:f>'Ex X sd'!$O$25:$O$45</c:f>
                <c:numCache>
                  <c:formatCode>General</c:formatCode>
                  <c:ptCount val="21"/>
                  <c:pt idx="0">
                    <c:v>0</c:v>
                  </c:pt>
                  <c:pt idx="1">
                    <c:v>0</c:v>
                  </c:pt>
                  <c:pt idx="2">
                    <c:v>0</c:v>
                  </c:pt>
                  <c:pt idx="3">
                    <c:v>0</c:v>
                  </c:pt>
                  <c:pt idx="4">
                    <c:v>0</c:v>
                  </c:pt>
                  <c:pt idx="5">
                    <c:v>0</c:v>
                  </c:pt>
                  <c:pt idx="6">
                    <c:v>0</c:v>
                  </c:pt>
                  <c:pt idx="7">
                    <c:v>0</c:v>
                  </c:pt>
                  <c:pt idx="8">
                    <c:v>0</c:v>
                  </c:pt>
                  <c:pt idx="9">
                    <c:v>0</c:v>
                  </c:pt>
                  <c:pt idx="10">
                    <c:v>0</c:v>
                  </c:pt>
                  <c:pt idx="11">
                    <c:v>0</c:v>
                  </c:pt>
                  <c:pt idx="12">
                    <c:v>0</c:v>
                  </c:pt>
                  <c:pt idx="13">
                    <c:v>0</c:v>
                  </c:pt>
                  <c:pt idx="14">
                    <c:v>0</c:v>
                  </c:pt>
                  <c:pt idx="15">
                    <c:v>0</c:v>
                  </c:pt>
                  <c:pt idx="16">
                    <c:v>0</c:v>
                  </c:pt>
                  <c:pt idx="17">
                    <c:v>0</c:v>
                  </c:pt>
                  <c:pt idx="18">
                    <c:v>0</c:v>
                  </c:pt>
                  <c:pt idx="19">
                    <c:v>0</c:v>
                  </c:pt>
                  <c:pt idx="20">
                    <c:v>0</c:v>
                  </c:pt>
                </c:numCache>
              </c:numRef>
            </c:plus>
            <c:minus>
              <c:numRef>
                <c:f>'Ex X sd'!$N$25:$N$45</c:f>
                <c:numCache>
                  <c:formatCode>General</c:formatCode>
                  <c:ptCount val="21"/>
                  <c:pt idx="0">
                    <c:v>0</c:v>
                  </c:pt>
                  <c:pt idx="1">
                    <c:v>0</c:v>
                  </c:pt>
                  <c:pt idx="2">
                    <c:v>0</c:v>
                  </c:pt>
                  <c:pt idx="3">
                    <c:v>0</c:v>
                  </c:pt>
                  <c:pt idx="4">
                    <c:v>0</c:v>
                  </c:pt>
                  <c:pt idx="5">
                    <c:v>0</c:v>
                  </c:pt>
                  <c:pt idx="6">
                    <c:v>0</c:v>
                  </c:pt>
                  <c:pt idx="7">
                    <c:v>0</c:v>
                  </c:pt>
                  <c:pt idx="8">
                    <c:v>0</c:v>
                  </c:pt>
                  <c:pt idx="9">
                    <c:v>0</c:v>
                  </c:pt>
                  <c:pt idx="10">
                    <c:v>0</c:v>
                  </c:pt>
                  <c:pt idx="11">
                    <c:v>0</c:v>
                  </c:pt>
                  <c:pt idx="12">
                    <c:v>0</c:v>
                  </c:pt>
                  <c:pt idx="13">
                    <c:v>0</c:v>
                  </c:pt>
                  <c:pt idx="14">
                    <c:v>0</c:v>
                  </c:pt>
                  <c:pt idx="15">
                    <c:v>0</c:v>
                  </c:pt>
                  <c:pt idx="16">
                    <c:v>0</c:v>
                  </c:pt>
                  <c:pt idx="17">
                    <c:v>0</c:v>
                  </c:pt>
                  <c:pt idx="18">
                    <c:v>0</c:v>
                  </c:pt>
                  <c:pt idx="19">
                    <c:v>0</c:v>
                  </c:pt>
                  <c:pt idx="20">
                    <c:v>0</c:v>
                  </c:pt>
                </c:numCache>
              </c:numRef>
            </c:minus>
            <c:spPr>
              <a:noFill/>
              <a:ln w="9525" cap="flat" cmpd="sng" algn="ctr">
                <a:solidFill>
                  <a:schemeClr val="tx1">
                    <a:lumMod val="65000"/>
                    <a:lumOff val="35000"/>
                  </a:schemeClr>
                </a:solidFill>
                <a:round/>
              </a:ln>
              <a:effectLst/>
            </c:spPr>
          </c:errBars>
          <c:xVal>
            <c:numRef>
              <c:f>'Ex X sd'!$D$25:$D$45</c:f>
              <c:numCache>
                <c:formatCode>#,##0.00</c:formatCode>
                <c:ptCount val="21"/>
              </c:numCache>
            </c:numRef>
          </c:xVal>
          <c:yVal>
            <c:numRef>
              <c:f>'Ex X sd'!$K$25:$K$45</c:f>
              <c:numCache>
                <c:formatCode>#,##0.0000</c:formatCode>
                <c:ptCount val="2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37DE-47FD-9785-6A8541AACEF1}"/>
            </c:ext>
          </c:extLst>
        </c:ser>
        <c:ser>
          <c:idx val="2"/>
          <c:order val="2"/>
          <c:tx>
            <c:v>Codebook 3</c:v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errBars>
            <c:errDir val="x"/>
            <c:errBarType val="both"/>
            <c:errValType val="stdErr"/>
            <c:noEndCap val="0"/>
            <c:spPr>
              <a:noFill/>
              <a:ln w="9525" cap="flat" cmpd="sng" algn="ctr">
                <a:noFill/>
                <a:round/>
              </a:ln>
              <a:effectLst/>
            </c:spPr>
          </c:errBars>
          <c:errBars>
            <c:errDir val="y"/>
            <c:errBarType val="both"/>
            <c:errValType val="cust"/>
            <c:noEndCap val="0"/>
            <c:plus>
              <c:numRef>
                <c:f>'Ex X sd'!$O$47:$O$67</c:f>
                <c:numCache>
                  <c:formatCode>General</c:formatCode>
                  <c:ptCount val="21"/>
                  <c:pt idx="0">
                    <c:v>0</c:v>
                  </c:pt>
                  <c:pt idx="1">
                    <c:v>0</c:v>
                  </c:pt>
                  <c:pt idx="2">
                    <c:v>0</c:v>
                  </c:pt>
                  <c:pt idx="3">
                    <c:v>0</c:v>
                  </c:pt>
                  <c:pt idx="4">
                    <c:v>0</c:v>
                  </c:pt>
                  <c:pt idx="5">
                    <c:v>0</c:v>
                  </c:pt>
                  <c:pt idx="6">
                    <c:v>0</c:v>
                  </c:pt>
                  <c:pt idx="7">
                    <c:v>0</c:v>
                  </c:pt>
                  <c:pt idx="8">
                    <c:v>0</c:v>
                  </c:pt>
                  <c:pt idx="9">
                    <c:v>0</c:v>
                  </c:pt>
                  <c:pt idx="10">
                    <c:v>0</c:v>
                  </c:pt>
                  <c:pt idx="11">
                    <c:v>0</c:v>
                  </c:pt>
                  <c:pt idx="12">
                    <c:v>0</c:v>
                  </c:pt>
                  <c:pt idx="13">
                    <c:v>0</c:v>
                  </c:pt>
                  <c:pt idx="14">
                    <c:v>0</c:v>
                  </c:pt>
                  <c:pt idx="15">
                    <c:v>0</c:v>
                  </c:pt>
                  <c:pt idx="16">
                    <c:v>0</c:v>
                  </c:pt>
                  <c:pt idx="17">
                    <c:v>0</c:v>
                  </c:pt>
                  <c:pt idx="18">
                    <c:v>0</c:v>
                  </c:pt>
                  <c:pt idx="19">
                    <c:v>0</c:v>
                  </c:pt>
                  <c:pt idx="20">
                    <c:v>0</c:v>
                  </c:pt>
                </c:numCache>
              </c:numRef>
            </c:plus>
            <c:minus>
              <c:numRef>
                <c:f>'Ex X sd'!$N$47:$N$67</c:f>
                <c:numCache>
                  <c:formatCode>General</c:formatCode>
                  <c:ptCount val="21"/>
                  <c:pt idx="0">
                    <c:v>0</c:v>
                  </c:pt>
                  <c:pt idx="1">
                    <c:v>0</c:v>
                  </c:pt>
                  <c:pt idx="2">
                    <c:v>0</c:v>
                  </c:pt>
                  <c:pt idx="3">
                    <c:v>0</c:v>
                  </c:pt>
                  <c:pt idx="4">
                    <c:v>0</c:v>
                  </c:pt>
                  <c:pt idx="5">
                    <c:v>0</c:v>
                  </c:pt>
                  <c:pt idx="6">
                    <c:v>0</c:v>
                  </c:pt>
                  <c:pt idx="7">
                    <c:v>0</c:v>
                  </c:pt>
                  <c:pt idx="8">
                    <c:v>0</c:v>
                  </c:pt>
                  <c:pt idx="9">
                    <c:v>0</c:v>
                  </c:pt>
                  <c:pt idx="10">
                    <c:v>0</c:v>
                  </c:pt>
                  <c:pt idx="11">
                    <c:v>0</c:v>
                  </c:pt>
                  <c:pt idx="12">
                    <c:v>0</c:v>
                  </c:pt>
                  <c:pt idx="13">
                    <c:v>0</c:v>
                  </c:pt>
                  <c:pt idx="14">
                    <c:v>0</c:v>
                  </c:pt>
                  <c:pt idx="15">
                    <c:v>0</c:v>
                  </c:pt>
                  <c:pt idx="16">
                    <c:v>0</c:v>
                  </c:pt>
                  <c:pt idx="17">
                    <c:v>0</c:v>
                  </c:pt>
                  <c:pt idx="18">
                    <c:v>0</c:v>
                  </c:pt>
                  <c:pt idx="19">
                    <c:v>0</c:v>
                  </c:pt>
                  <c:pt idx="20">
                    <c:v>0</c:v>
                  </c:pt>
                </c:numCache>
              </c:numRef>
            </c:minus>
            <c:spPr>
              <a:noFill/>
              <a:ln w="9525" cap="flat" cmpd="sng" algn="ctr">
                <a:solidFill>
                  <a:schemeClr val="tx1">
                    <a:lumMod val="65000"/>
                    <a:lumOff val="35000"/>
                  </a:schemeClr>
                </a:solidFill>
                <a:round/>
              </a:ln>
              <a:effectLst/>
            </c:spPr>
          </c:errBars>
          <c:xVal>
            <c:numRef>
              <c:f>'Ex X sd'!$D$47:$D$67</c:f>
              <c:numCache>
                <c:formatCode>#,##0.00</c:formatCode>
                <c:ptCount val="21"/>
              </c:numCache>
            </c:numRef>
          </c:xVal>
          <c:yVal>
            <c:numRef>
              <c:f>'Ex X sd'!$K$47:$K$67</c:f>
              <c:numCache>
                <c:formatCode>#,##0.0000</c:formatCode>
                <c:ptCount val="2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37DE-47FD-9785-6A8541AACEF1}"/>
            </c:ext>
          </c:extLst>
        </c:ser>
        <c:ser>
          <c:idx val="3"/>
          <c:order val="3"/>
          <c:tx>
            <c:v>Codebook 4</c:v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errBars>
            <c:errDir val="x"/>
            <c:errBarType val="both"/>
            <c:errValType val="stdErr"/>
            <c:noEndCap val="0"/>
            <c:spPr>
              <a:noFill/>
              <a:ln w="9525" cap="flat" cmpd="sng" algn="ctr">
                <a:noFill/>
                <a:round/>
              </a:ln>
              <a:effectLst/>
            </c:spPr>
          </c:errBars>
          <c:errBars>
            <c:errDir val="y"/>
            <c:errBarType val="both"/>
            <c:errValType val="cust"/>
            <c:noEndCap val="0"/>
            <c:plus>
              <c:numRef>
                <c:f>'Ex X sd'!$O$69:$O$89</c:f>
                <c:numCache>
                  <c:formatCode>General</c:formatCode>
                  <c:ptCount val="21"/>
                  <c:pt idx="0">
                    <c:v>0</c:v>
                  </c:pt>
                  <c:pt idx="1">
                    <c:v>0</c:v>
                  </c:pt>
                  <c:pt idx="2">
                    <c:v>0</c:v>
                  </c:pt>
                  <c:pt idx="3">
                    <c:v>0</c:v>
                  </c:pt>
                  <c:pt idx="4">
                    <c:v>0</c:v>
                  </c:pt>
                  <c:pt idx="5">
                    <c:v>0</c:v>
                  </c:pt>
                  <c:pt idx="6">
                    <c:v>0</c:v>
                  </c:pt>
                  <c:pt idx="7">
                    <c:v>0</c:v>
                  </c:pt>
                  <c:pt idx="8">
                    <c:v>0</c:v>
                  </c:pt>
                  <c:pt idx="9">
                    <c:v>0</c:v>
                  </c:pt>
                  <c:pt idx="10">
                    <c:v>0</c:v>
                  </c:pt>
                  <c:pt idx="11">
                    <c:v>0</c:v>
                  </c:pt>
                  <c:pt idx="12">
                    <c:v>0</c:v>
                  </c:pt>
                  <c:pt idx="13">
                    <c:v>0</c:v>
                  </c:pt>
                  <c:pt idx="14">
                    <c:v>0</c:v>
                  </c:pt>
                  <c:pt idx="15">
                    <c:v>0</c:v>
                  </c:pt>
                  <c:pt idx="16">
                    <c:v>0</c:v>
                  </c:pt>
                  <c:pt idx="17">
                    <c:v>0</c:v>
                  </c:pt>
                  <c:pt idx="18">
                    <c:v>0</c:v>
                  </c:pt>
                  <c:pt idx="19">
                    <c:v>0</c:v>
                  </c:pt>
                  <c:pt idx="20">
                    <c:v>0</c:v>
                  </c:pt>
                </c:numCache>
              </c:numRef>
            </c:plus>
            <c:minus>
              <c:numRef>
                <c:f>'Ex X sd'!$N$69:$N$89</c:f>
                <c:numCache>
                  <c:formatCode>General</c:formatCode>
                  <c:ptCount val="21"/>
                  <c:pt idx="0">
                    <c:v>0</c:v>
                  </c:pt>
                  <c:pt idx="1">
                    <c:v>0</c:v>
                  </c:pt>
                  <c:pt idx="2">
                    <c:v>0</c:v>
                  </c:pt>
                  <c:pt idx="3">
                    <c:v>0</c:v>
                  </c:pt>
                  <c:pt idx="4">
                    <c:v>0</c:v>
                  </c:pt>
                  <c:pt idx="5">
                    <c:v>0</c:v>
                  </c:pt>
                  <c:pt idx="6">
                    <c:v>0</c:v>
                  </c:pt>
                  <c:pt idx="7">
                    <c:v>0</c:v>
                  </c:pt>
                  <c:pt idx="8">
                    <c:v>0</c:v>
                  </c:pt>
                  <c:pt idx="9">
                    <c:v>0</c:v>
                  </c:pt>
                  <c:pt idx="10">
                    <c:v>0</c:v>
                  </c:pt>
                  <c:pt idx="11">
                    <c:v>0</c:v>
                  </c:pt>
                  <c:pt idx="12">
                    <c:v>0</c:v>
                  </c:pt>
                  <c:pt idx="13">
                    <c:v>0</c:v>
                  </c:pt>
                  <c:pt idx="14">
                    <c:v>0</c:v>
                  </c:pt>
                  <c:pt idx="15">
                    <c:v>0</c:v>
                  </c:pt>
                  <c:pt idx="16">
                    <c:v>0</c:v>
                  </c:pt>
                  <c:pt idx="17">
                    <c:v>0</c:v>
                  </c:pt>
                  <c:pt idx="18">
                    <c:v>0</c:v>
                  </c:pt>
                  <c:pt idx="19">
                    <c:v>0</c:v>
                  </c:pt>
                  <c:pt idx="20">
                    <c:v>0</c:v>
                  </c:pt>
                </c:numCache>
              </c:numRef>
            </c:minus>
            <c:spPr>
              <a:noFill/>
              <a:ln w="9525" cap="flat" cmpd="sng" algn="ctr">
                <a:solidFill>
                  <a:schemeClr val="tx1">
                    <a:lumMod val="65000"/>
                    <a:lumOff val="35000"/>
                  </a:schemeClr>
                </a:solidFill>
                <a:round/>
              </a:ln>
              <a:effectLst/>
            </c:spPr>
          </c:errBars>
          <c:xVal>
            <c:numRef>
              <c:f>'Ex X sd'!$D$69:$D$89</c:f>
              <c:numCache>
                <c:formatCode>#,##0.00</c:formatCode>
                <c:ptCount val="21"/>
              </c:numCache>
            </c:numRef>
          </c:xVal>
          <c:yVal>
            <c:numRef>
              <c:f>'Ex X sd'!$K$69:$K$89</c:f>
              <c:numCache>
                <c:formatCode>#,##0.0000</c:formatCode>
                <c:ptCount val="2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37DE-47FD-9785-6A8541AACEF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78679920"/>
        <c:axId val="802641424"/>
      </c:scatterChart>
      <c:valAx>
        <c:axId val="578679920"/>
        <c:scaling>
          <c:orientation val="minMax"/>
          <c:max val="0.2"/>
          <c:min val="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AU"/>
                  <a:t>Normalised</a:t>
                </a:r>
                <a:r>
                  <a:rPr lang="en-AU" baseline="0"/>
                  <a:t> noise, </a:t>
                </a:r>
                <a:r>
                  <a:rPr lang="en-AU" sz="1000" b="0" i="1" u="none" strike="noStrike" kern="1200" spc="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  <a:cs typeface="Times New Roman" panose="02020603050405020304" pitchFamily="18" charset="0"/>
                  </a:rPr>
                  <a:t>σ</a:t>
                </a:r>
                <a:r>
                  <a:rPr lang="en-AU" baseline="0"/>
                  <a:t> </a:t>
                </a:r>
                <a:endParaRPr lang="en-AU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#,##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02641424"/>
        <c:crosses val="autoZero"/>
        <c:crossBetween val="midCat"/>
        <c:majorUnit val="2.0000000000000004E-2"/>
      </c:valAx>
      <c:valAx>
        <c:axId val="80264142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AU"/>
                  <a:t>Q</a:t>
                </a:r>
                <a:r>
                  <a:rPr lang="en-AU" baseline="0"/>
                  <a:t>uality score, </a:t>
                </a:r>
                <a:r>
                  <a:rPr lang="en-AU" i="1" baseline="0"/>
                  <a:t>Q</a:t>
                </a:r>
                <a:endParaRPr lang="en-AU" i="1"/>
              </a:p>
            </c:rich>
          </c:tx>
          <c:layout>
            <c:manualLayout>
              <c:xMode val="edge"/>
              <c:yMode val="edge"/>
              <c:x val="1.2630035540302917E-2"/>
              <c:y val="0.3506217297161231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#,##0.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78679920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7715254705504232"/>
          <c:y val="0.34878351652668288"/>
          <c:w val="0.21228217619277828"/>
          <c:h val="0.3436151953612574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6350" cap="flat" cmpd="sng" algn="ctr">
      <a:solidFill>
        <a:schemeClr val="tx1"/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AU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Quality score vs. </a:t>
            </a:r>
            <a:r>
              <a:rPr lang="en-AU" sz="1400" b="0" i="1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cs typeface="Times New Roman" panose="02020603050405020304" pitchFamily="18" charset="0"/>
              </a:rPr>
              <a:t>K</a:t>
            </a:r>
            <a:r>
              <a:rPr lang="en-AU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cs typeface="Times New Roman" panose="02020603050405020304" pitchFamily="18" charset="0"/>
              </a:rPr>
              <a:t> : Scrappie R9</a:t>
            </a:r>
            <a:endParaRPr lang="en-AU" sz="1400" b="0" i="0" u="none" strike="noStrike" kern="1200" spc="0" baseline="0">
              <a:solidFill>
                <a:sysClr val="windowText" lastClr="000000">
                  <a:lumMod val="65000"/>
                  <a:lumOff val="35000"/>
                </a:sysClr>
              </a:solidFill>
            </a:endParaRPr>
          </a:p>
        </c:rich>
      </c:tx>
      <c:layout>
        <c:manualLayout>
          <c:xMode val="edge"/>
          <c:yMode val="edge"/>
          <c:x val="0.27445146278361854"/>
          <c:y val="3.2615657920790887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1368158226066076"/>
          <c:y val="0.15826550596557501"/>
          <c:w val="0.66061018822016926"/>
          <c:h val="0.65642128030386226"/>
        </c:manualLayout>
      </c:layout>
      <c:scatterChart>
        <c:scatterStyle val="lineMarker"/>
        <c:varyColors val="0"/>
        <c:ser>
          <c:idx val="1"/>
          <c:order val="0"/>
          <c:tx>
            <c:v>Codebook 1</c:v>
          </c:tx>
          <c:spPr>
            <a:ln w="19050" cap="rnd">
              <a:solidFill>
                <a:srgbClr val="FF0000"/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rgbClr val="FF0000"/>
              </a:solidFill>
              <a:ln w="9525">
                <a:solidFill>
                  <a:srgbClr val="FF0000"/>
                </a:solidFill>
              </a:ln>
              <a:effectLst/>
            </c:spPr>
          </c:marker>
          <c:errBars>
            <c:errDir val="x"/>
            <c:errBarType val="both"/>
            <c:errValType val="stdErr"/>
            <c:noEndCap val="0"/>
            <c:spPr>
              <a:noFill/>
              <a:ln w="9525" cap="flat" cmpd="sng" algn="ctr">
                <a:noFill/>
                <a:round/>
              </a:ln>
              <a:effectLst/>
            </c:spPr>
          </c:errBars>
          <c:errBars>
            <c:errDir val="y"/>
            <c:errBarType val="both"/>
            <c:errValType val="cust"/>
            <c:noEndCap val="0"/>
            <c:plus>
              <c:numRef>
                <c:f>'Ex X K'!$O$3:$O$18</c:f>
                <c:numCache>
                  <c:formatCode>General</c:formatCode>
                  <c:ptCount val="16"/>
                  <c:pt idx="0">
                    <c:v>5.6842889130845897E-2</c:v>
                  </c:pt>
                  <c:pt idx="1">
                    <c:v>6.279887593351674E-2</c:v>
                  </c:pt>
                  <c:pt idx="2">
                    <c:v>6.2765007050568755E-2</c:v>
                  </c:pt>
                  <c:pt idx="3">
                    <c:v>6.7093000947127557E-2</c:v>
                  </c:pt>
                  <c:pt idx="4">
                    <c:v>6.9563903262285898E-2</c:v>
                  </c:pt>
                  <c:pt idx="5">
                    <c:v>7.3405278247884453E-2</c:v>
                  </c:pt>
                  <c:pt idx="6">
                    <c:v>7.5617023430898378E-2</c:v>
                  </c:pt>
                  <c:pt idx="7">
                    <c:v>8.3350611285144538E-2</c:v>
                  </c:pt>
                  <c:pt idx="8">
                    <c:v>8.1504183613736458E-2</c:v>
                  </c:pt>
                  <c:pt idx="9">
                    <c:v>9.892278902290208E-2</c:v>
                  </c:pt>
                  <c:pt idx="10">
                    <c:v>7.8222186102506974E-2</c:v>
                  </c:pt>
                  <c:pt idx="11">
                    <c:v>8.1378147393964539E-2</c:v>
                  </c:pt>
                  <c:pt idx="12">
                    <c:v>8.5016048165826419E-2</c:v>
                  </c:pt>
                  <c:pt idx="13">
                    <c:v>7.9656718868112542E-2</c:v>
                  </c:pt>
                  <c:pt idx="14">
                    <c:v>7.9609081174417895E-2</c:v>
                  </c:pt>
                  <c:pt idx="15">
                    <c:v>8.5530466444844855E-2</c:v>
                  </c:pt>
                </c:numCache>
              </c:numRef>
            </c:plus>
            <c:minus>
              <c:numRef>
                <c:f>'Ex X K'!$N$3:$N$18</c:f>
                <c:numCache>
                  <c:formatCode>General</c:formatCode>
                  <c:ptCount val="16"/>
                  <c:pt idx="0">
                    <c:v>5.6108499382504284E-2</c:v>
                  </c:pt>
                  <c:pt idx="1">
                    <c:v>6.1903734077117356E-2</c:v>
                  </c:pt>
                  <c:pt idx="2">
                    <c:v>6.1870823617233839E-2</c:v>
                  </c:pt>
                  <c:pt idx="3">
                    <c:v>6.6072248340207196E-2</c:v>
                  </c:pt>
                  <c:pt idx="4">
                    <c:v>6.8467194526030895E-2</c:v>
                  </c:pt>
                  <c:pt idx="5">
                    <c:v>7.2185162358469945E-2</c:v>
                  </c:pt>
                  <c:pt idx="6">
                    <c:v>7.4322920510218715E-2</c:v>
                  </c:pt>
                  <c:pt idx="7">
                    <c:v>8.178100758251361E-2</c:v>
                  </c:pt>
                  <c:pt idx="8">
                    <c:v>8.0002726641731137E-2</c:v>
                  </c:pt>
                  <c:pt idx="9">
                    <c:v>9.6719634063049398E-2</c:v>
                  </c:pt>
                  <c:pt idx="10">
                    <c:v>7.6838191784990961E-2</c:v>
                  </c:pt>
                  <c:pt idx="11">
                    <c:v>7.9881287957928038E-2</c:v>
                  </c:pt>
                  <c:pt idx="12">
                    <c:v>8.338370526653982E-2</c:v>
                  </c:pt>
                  <c:pt idx="13">
                    <c:v>7.8221960537932844E-2</c:v>
                  </c:pt>
                  <c:pt idx="14">
                    <c:v>7.817602301867943E-2</c:v>
                  </c:pt>
                  <c:pt idx="15">
                    <c:v>8.3878501011382056E-2</c:v>
                  </c:pt>
                </c:numCache>
              </c:numRef>
            </c:minus>
            <c:spPr>
              <a:noFill/>
              <a:ln w="9525" cap="flat" cmpd="sng" algn="ctr">
                <a:solidFill>
                  <a:schemeClr val="tx1">
                    <a:lumMod val="65000"/>
                    <a:lumOff val="35000"/>
                  </a:schemeClr>
                </a:solidFill>
                <a:round/>
              </a:ln>
              <a:effectLst/>
            </c:spPr>
          </c:errBars>
          <c:xVal>
            <c:numRef>
              <c:f>'Ex X K'!$E$3:$E$18</c:f>
              <c:numCache>
                <c:formatCode>#,##0</c:formatCode>
                <c:ptCount val="16"/>
                <c:pt idx="0">
                  <c:v>5</c:v>
                </c:pt>
                <c:pt idx="1">
                  <c:v>6</c:v>
                </c:pt>
                <c:pt idx="2">
                  <c:v>7</c:v>
                </c:pt>
                <c:pt idx="3">
                  <c:v>8</c:v>
                </c:pt>
                <c:pt idx="4">
                  <c:v>9</c:v>
                </c:pt>
                <c:pt idx="5">
                  <c:v>10</c:v>
                </c:pt>
                <c:pt idx="6">
                  <c:v>11</c:v>
                </c:pt>
                <c:pt idx="7">
                  <c:v>12</c:v>
                </c:pt>
                <c:pt idx="8">
                  <c:v>13</c:v>
                </c:pt>
                <c:pt idx="9">
                  <c:v>14</c:v>
                </c:pt>
                <c:pt idx="10">
                  <c:v>15</c:v>
                </c:pt>
                <c:pt idx="11">
                  <c:v>16</c:v>
                </c:pt>
                <c:pt idx="12">
                  <c:v>17</c:v>
                </c:pt>
                <c:pt idx="13">
                  <c:v>18</c:v>
                </c:pt>
                <c:pt idx="14">
                  <c:v>19</c:v>
                </c:pt>
                <c:pt idx="15">
                  <c:v>20</c:v>
                </c:pt>
              </c:numCache>
            </c:numRef>
          </c:xVal>
          <c:yVal>
            <c:numRef>
              <c:f>'Ex X K'!$K$3:$K$18</c:f>
              <c:numCache>
                <c:formatCode>#,##0.0000</c:formatCode>
                <c:ptCount val="16"/>
                <c:pt idx="0">
                  <c:v>4.4967586832183306</c:v>
                </c:pt>
                <c:pt idx="1">
                  <c:v>5.5723621675587296</c:v>
                </c:pt>
                <c:pt idx="2">
                  <c:v>6.2610929092506797</c:v>
                </c:pt>
                <c:pt idx="3">
                  <c:v>6.7524352703670036</c:v>
                </c:pt>
                <c:pt idx="4">
                  <c:v>7.0730792976589596</c:v>
                </c:pt>
                <c:pt idx="5">
                  <c:v>7.172253607621454</c:v>
                </c:pt>
                <c:pt idx="6">
                  <c:v>7.3149113277155697</c:v>
                </c:pt>
                <c:pt idx="7">
                  <c:v>7.3856414527600478</c:v>
                </c:pt>
                <c:pt idx="8">
                  <c:v>7.4032382819209239</c:v>
                </c:pt>
                <c:pt idx="9">
                  <c:v>7.5087006884575889</c:v>
                </c:pt>
                <c:pt idx="10">
                  <c:v>7.5721185703570812</c:v>
                </c:pt>
                <c:pt idx="11">
                  <c:v>7.56601230067223</c:v>
                </c:pt>
                <c:pt idx="12">
                  <c:v>7.6044580187374802</c:v>
                </c:pt>
                <c:pt idx="13">
                  <c:v>7.6229661088690772</c:v>
                </c:pt>
                <c:pt idx="14">
                  <c:v>7.632531450809795</c:v>
                </c:pt>
                <c:pt idx="15">
                  <c:v>7.7190063555094079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20C3-45E9-9163-775D31D3F85B}"/>
            </c:ext>
          </c:extLst>
        </c:ser>
        <c:ser>
          <c:idx val="0"/>
          <c:order val="1"/>
          <c:tx>
            <c:v>Codebook 2</c:v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errBars>
            <c:errDir val="x"/>
            <c:errBarType val="both"/>
            <c:errValType val="stdErr"/>
            <c:noEndCap val="0"/>
            <c:spPr>
              <a:noFill/>
              <a:ln w="9525" cap="flat" cmpd="sng" algn="ctr">
                <a:noFill/>
                <a:round/>
              </a:ln>
              <a:effectLst/>
            </c:spPr>
          </c:errBars>
          <c:errBars>
            <c:errDir val="y"/>
            <c:errBarType val="both"/>
            <c:errValType val="cust"/>
            <c:noEndCap val="0"/>
            <c:plus>
              <c:numRef>
                <c:f>'Ex X K'!$O$20:$O$35</c:f>
                <c:numCache>
                  <c:formatCode>General</c:formatCode>
                  <c:ptCount val="16"/>
                  <c:pt idx="0">
                    <c:v>0</c:v>
                  </c:pt>
                  <c:pt idx="1">
                    <c:v>0</c:v>
                  </c:pt>
                  <c:pt idx="2">
                    <c:v>0</c:v>
                  </c:pt>
                  <c:pt idx="3">
                    <c:v>0</c:v>
                  </c:pt>
                  <c:pt idx="4">
                    <c:v>0</c:v>
                  </c:pt>
                  <c:pt idx="5">
                    <c:v>0</c:v>
                  </c:pt>
                  <c:pt idx="6">
                    <c:v>0</c:v>
                  </c:pt>
                  <c:pt idx="7">
                    <c:v>0</c:v>
                  </c:pt>
                  <c:pt idx="8">
                    <c:v>0</c:v>
                  </c:pt>
                  <c:pt idx="9">
                    <c:v>0</c:v>
                  </c:pt>
                  <c:pt idx="10">
                    <c:v>0</c:v>
                  </c:pt>
                  <c:pt idx="11">
                    <c:v>0</c:v>
                  </c:pt>
                  <c:pt idx="12">
                    <c:v>0</c:v>
                  </c:pt>
                  <c:pt idx="13">
                    <c:v>0</c:v>
                  </c:pt>
                  <c:pt idx="14">
                    <c:v>0</c:v>
                  </c:pt>
                  <c:pt idx="15">
                    <c:v>0</c:v>
                  </c:pt>
                </c:numCache>
              </c:numRef>
            </c:plus>
            <c:minus>
              <c:numRef>
                <c:f>'Ex X K'!$N$20:$N$35</c:f>
                <c:numCache>
                  <c:formatCode>General</c:formatCode>
                  <c:ptCount val="16"/>
                  <c:pt idx="0">
                    <c:v>0</c:v>
                  </c:pt>
                  <c:pt idx="1">
                    <c:v>0</c:v>
                  </c:pt>
                  <c:pt idx="2">
                    <c:v>0</c:v>
                  </c:pt>
                  <c:pt idx="3">
                    <c:v>0</c:v>
                  </c:pt>
                  <c:pt idx="4">
                    <c:v>0</c:v>
                  </c:pt>
                  <c:pt idx="5">
                    <c:v>0</c:v>
                  </c:pt>
                  <c:pt idx="6">
                    <c:v>0</c:v>
                  </c:pt>
                  <c:pt idx="7">
                    <c:v>0</c:v>
                  </c:pt>
                  <c:pt idx="8">
                    <c:v>0</c:v>
                  </c:pt>
                  <c:pt idx="9">
                    <c:v>0</c:v>
                  </c:pt>
                  <c:pt idx="10">
                    <c:v>0</c:v>
                  </c:pt>
                  <c:pt idx="11">
                    <c:v>0</c:v>
                  </c:pt>
                  <c:pt idx="12">
                    <c:v>0</c:v>
                  </c:pt>
                  <c:pt idx="13">
                    <c:v>0</c:v>
                  </c:pt>
                  <c:pt idx="14">
                    <c:v>0</c:v>
                  </c:pt>
                  <c:pt idx="15">
                    <c:v>0</c:v>
                  </c:pt>
                </c:numCache>
              </c:numRef>
            </c:minus>
            <c:spPr>
              <a:noFill/>
              <a:ln w="9525" cap="flat" cmpd="sng" algn="ctr">
                <a:solidFill>
                  <a:schemeClr val="tx1">
                    <a:lumMod val="65000"/>
                    <a:lumOff val="35000"/>
                  </a:schemeClr>
                </a:solidFill>
                <a:round/>
              </a:ln>
              <a:effectLst/>
            </c:spPr>
          </c:errBars>
          <c:xVal>
            <c:numRef>
              <c:f>'Ex X K'!$E$20:$E$35</c:f>
              <c:numCache>
                <c:formatCode>#,##0</c:formatCode>
                <c:ptCount val="16"/>
              </c:numCache>
            </c:numRef>
          </c:xVal>
          <c:yVal>
            <c:numRef>
              <c:f>'Ex X K'!$K$20:$K$35</c:f>
              <c:numCache>
                <c:formatCode>#,##0.0000</c:formatCode>
                <c:ptCount val="1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20C3-45E9-9163-775D31D3F85B}"/>
            </c:ext>
          </c:extLst>
        </c:ser>
        <c:ser>
          <c:idx val="2"/>
          <c:order val="2"/>
          <c:tx>
            <c:v>Codebook 3</c:v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errBars>
            <c:errDir val="x"/>
            <c:errBarType val="both"/>
            <c:errValType val="stdErr"/>
            <c:noEndCap val="0"/>
            <c:spPr>
              <a:noFill/>
              <a:ln w="9525" cap="flat" cmpd="sng" algn="ctr">
                <a:noFill/>
                <a:round/>
              </a:ln>
              <a:effectLst/>
            </c:spPr>
          </c:errBars>
          <c:errBars>
            <c:errDir val="y"/>
            <c:errBarType val="both"/>
            <c:errValType val="cust"/>
            <c:noEndCap val="0"/>
            <c:plus>
              <c:numRef>
                <c:f>'Ex X K'!$O$37:$O$52</c:f>
                <c:numCache>
                  <c:formatCode>General</c:formatCode>
                  <c:ptCount val="16"/>
                  <c:pt idx="0">
                    <c:v>0</c:v>
                  </c:pt>
                  <c:pt idx="1">
                    <c:v>0</c:v>
                  </c:pt>
                  <c:pt idx="2">
                    <c:v>0</c:v>
                  </c:pt>
                  <c:pt idx="3">
                    <c:v>0</c:v>
                  </c:pt>
                  <c:pt idx="4">
                    <c:v>0</c:v>
                  </c:pt>
                  <c:pt idx="5">
                    <c:v>0</c:v>
                  </c:pt>
                  <c:pt idx="6">
                    <c:v>0</c:v>
                  </c:pt>
                  <c:pt idx="7">
                    <c:v>0</c:v>
                  </c:pt>
                  <c:pt idx="8">
                    <c:v>0</c:v>
                  </c:pt>
                  <c:pt idx="9">
                    <c:v>0</c:v>
                  </c:pt>
                  <c:pt idx="10">
                    <c:v>0</c:v>
                  </c:pt>
                  <c:pt idx="11">
                    <c:v>0</c:v>
                  </c:pt>
                  <c:pt idx="12">
                    <c:v>0</c:v>
                  </c:pt>
                  <c:pt idx="13">
                    <c:v>0</c:v>
                  </c:pt>
                  <c:pt idx="14">
                    <c:v>0</c:v>
                  </c:pt>
                  <c:pt idx="15">
                    <c:v>0</c:v>
                  </c:pt>
                </c:numCache>
              </c:numRef>
            </c:plus>
            <c:minus>
              <c:numRef>
                <c:f>'Ex X K'!$N$37:$N$52</c:f>
                <c:numCache>
                  <c:formatCode>General</c:formatCode>
                  <c:ptCount val="16"/>
                  <c:pt idx="0">
                    <c:v>0</c:v>
                  </c:pt>
                  <c:pt idx="1">
                    <c:v>0</c:v>
                  </c:pt>
                  <c:pt idx="2">
                    <c:v>0</c:v>
                  </c:pt>
                  <c:pt idx="3">
                    <c:v>0</c:v>
                  </c:pt>
                  <c:pt idx="4">
                    <c:v>0</c:v>
                  </c:pt>
                  <c:pt idx="5">
                    <c:v>0</c:v>
                  </c:pt>
                  <c:pt idx="6">
                    <c:v>0</c:v>
                  </c:pt>
                  <c:pt idx="7">
                    <c:v>0</c:v>
                  </c:pt>
                  <c:pt idx="8">
                    <c:v>0</c:v>
                  </c:pt>
                  <c:pt idx="9">
                    <c:v>0</c:v>
                  </c:pt>
                  <c:pt idx="10">
                    <c:v>0</c:v>
                  </c:pt>
                  <c:pt idx="11">
                    <c:v>0</c:v>
                  </c:pt>
                  <c:pt idx="12">
                    <c:v>0</c:v>
                  </c:pt>
                  <c:pt idx="13">
                    <c:v>0</c:v>
                  </c:pt>
                  <c:pt idx="14">
                    <c:v>0</c:v>
                  </c:pt>
                  <c:pt idx="15">
                    <c:v>0</c:v>
                  </c:pt>
                </c:numCache>
              </c:numRef>
            </c:minus>
            <c:spPr>
              <a:noFill/>
              <a:ln w="9525" cap="flat" cmpd="sng" algn="ctr">
                <a:solidFill>
                  <a:schemeClr val="tx1">
                    <a:lumMod val="65000"/>
                    <a:lumOff val="35000"/>
                  </a:schemeClr>
                </a:solidFill>
                <a:round/>
              </a:ln>
              <a:effectLst/>
            </c:spPr>
          </c:errBars>
          <c:xVal>
            <c:numRef>
              <c:f>'Ex X K'!$E$37:$E$52</c:f>
              <c:numCache>
                <c:formatCode>#,##0</c:formatCode>
                <c:ptCount val="16"/>
              </c:numCache>
            </c:numRef>
          </c:xVal>
          <c:yVal>
            <c:numRef>
              <c:f>'Ex X K'!$K$37:$K$52</c:f>
              <c:numCache>
                <c:formatCode>#,##0.0000</c:formatCode>
                <c:ptCount val="1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20C3-45E9-9163-775D31D3F85B}"/>
            </c:ext>
          </c:extLst>
        </c:ser>
        <c:ser>
          <c:idx val="3"/>
          <c:order val="3"/>
          <c:tx>
            <c:v>Codebook 4</c:v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errBars>
            <c:errDir val="x"/>
            <c:errBarType val="both"/>
            <c:errValType val="stdErr"/>
            <c:noEndCap val="0"/>
            <c:spPr>
              <a:noFill/>
              <a:ln w="9525" cap="flat" cmpd="sng" algn="ctr">
                <a:noFill/>
                <a:round/>
              </a:ln>
              <a:effectLst/>
            </c:spPr>
          </c:errBars>
          <c:errBars>
            <c:errDir val="y"/>
            <c:errBarType val="both"/>
            <c:errValType val="cust"/>
            <c:noEndCap val="0"/>
            <c:plus>
              <c:numRef>
                <c:f>'Ex X K'!$O$54:$O$69</c:f>
                <c:numCache>
                  <c:formatCode>General</c:formatCode>
                  <c:ptCount val="16"/>
                  <c:pt idx="0">
                    <c:v>0</c:v>
                  </c:pt>
                  <c:pt idx="1">
                    <c:v>0</c:v>
                  </c:pt>
                  <c:pt idx="2">
                    <c:v>0</c:v>
                  </c:pt>
                  <c:pt idx="3">
                    <c:v>0</c:v>
                  </c:pt>
                  <c:pt idx="4">
                    <c:v>0</c:v>
                  </c:pt>
                  <c:pt idx="5">
                    <c:v>0</c:v>
                  </c:pt>
                  <c:pt idx="6">
                    <c:v>0</c:v>
                  </c:pt>
                  <c:pt idx="7">
                    <c:v>0</c:v>
                  </c:pt>
                  <c:pt idx="8">
                    <c:v>0</c:v>
                  </c:pt>
                  <c:pt idx="9">
                    <c:v>0</c:v>
                  </c:pt>
                  <c:pt idx="10">
                    <c:v>0</c:v>
                  </c:pt>
                  <c:pt idx="11">
                    <c:v>0</c:v>
                  </c:pt>
                  <c:pt idx="12">
                    <c:v>0</c:v>
                  </c:pt>
                  <c:pt idx="13">
                    <c:v>0</c:v>
                  </c:pt>
                  <c:pt idx="14">
                    <c:v>0</c:v>
                  </c:pt>
                  <c:pt idx="15">
                    <c:v>0</c:v>
                  </c:pt>
                </c:numCache>
              </c:numRef>
            </c:plus>
            <c:minus>
              <c:numRef>
                <c:f>'Ex X K'!$N$54:$N$69</c:f>
                <c:numCache>
                  <c:formatCode>General</c:formatCode>
                  <c:ptCount val="16"/>
                  <c:pt idx="0">
                    <c:v>0</c:v>
                  </c:pt>
                  <c:pt idx="1">
                    <c:v>0</c:v>
                  </c:pt>
                  <c:pt idx="2">
                    <c:v>0</c:v>
                  </c:pt>
                  <c:pt idx="3">
                    <c:v>0</c:v>
                  </c:pt>
                  <c:pt idx="4">
                    <c:v>0</c:v>
                  </c:pt>
                  <c:pt idx="5">
                    <c:v>0</c:v>
                  </c:pt>
                  <c:pt idx="6">
                    <c:v>0</c:v>
                  </c:pt>
                  <c:pt idx="7">
                    <c:v>0</c:v>
                  </c:pt>
                  <c:pt idx="8">
                    <c:v>0</c:v>
                  </c:pt>
                  <c:pt idx="9">
                    <c:v>0</c:v>
                  </c:pt>
                  <c:pt idx="10">
                    <c:v>0</c:v>
                  </c:pt>
                  <c:pt idx="11">
                    <c:v>0</c:v>
                  </c:pt>
                  <c:pt idx="12">
                    <c:v>0</c:v>
                  </c:pt>
                  <c:pt idx="13">
                    <c:v>0</c:v>
                  </c:pt>
                  <c:pt idx="14">
                    <c:v>0</c:v>
                  </c:pt>
                  <c:pt idx="15">
                    <c:v>0</c:v>
                  </c:pt>
                </c:numCache>
              </c:numRef>
            </c:minus>
            <c:spPr>
              <a:noFill/>
              <a:ln w="9525" cap="flat" cmpd="sng" algn="ctr">
                <a:solidFill>
                  <a:schemeClr val="tx1">
                    <a:lumMod val="65000"/>
                    <a:lumOff val="35000"/>
                  </a:schemeClr>
                </a:solidFill>
                <a:round/>
              </a:ln>
              <a:effectLst/>
            </c:spPr>
          </c:errBars>
          <c:xVal>
            <c:numRef>
              <c:f>'Ex X K'!$E$54:$E$69</c:f>
              <c:numCache>
                <c:formatCode>#,##0</c:formatCode>
                <c:ptCount val="16"/>
              </c:numCache>
            </c:numRef>
          </c:xVal>
          <c:yVal>
            <c:numRef>
              <c:f>'Ex X K'!$K$54:$K$69</c:f>
              <c:numCache>
                <c:formatCode>#,##0.0000</c:formatCode>
                <c:ptCount val="1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20C3-45E9-9163-775D31D3F85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78679920"/>
        <c:axId val="802641424"/>
      </c:scatterChart>
      <c:valAx>
        <c:axId val="578679920"/>
        <c:scaling>
          <c:orientation val="minMax"/>
          <c:max val="21"/>
          <c:min val="4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AU"/>
                  <a:t>Mean dwell time, </a:t>
                </a:r>
                <a:r>
                  <a:rPr lang="en-AU" i="1"/>
                  <a:t>K</a:t>
                </a:r>
                <a:endParaRPr lang="en-AU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#,##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02641424"/>
        <c:crosses val="autoZero"/>
        <c:crossBetween val="midCat"/>
        <c:majorUnit val="2"/>
        <c:minorUnit val="1"/>
      </c:valAx>
      <c:valAx>
        <c:axId val="802641424"/>
        <c:scaling>
          <c:orientation val="minMax"/>
          <c:min val="2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AU"/>
                  <a:t>Q</a:t>
                </a:r>
                <a:r>
                  <a:rPr lang="en-AU" baseline="0"/>
                  <a:t>uality score, </a:t>
                </a:r>
                <a:r>
                  <a:rPr lang="en-AU" i="1" baseline="0"/>
                  <a:t>Q</a:t>
                </a:r>
                <a:endParaRPr lang="en-AU" i="1"/>
              </a:p>
            </c:rich>
          </c:tx>
          <c:layout>
            <c:manualLayout>
              <c:xMode val="edge"/>
              <c:yMode val="edge"/>
              <c:x val="1.2630035540302917E-2"/>
              <c:y val="0.3506217297161231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#,##0.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78679920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7715254705504232"/>
          <c:y val="0.34878351652668288"/>
          <c:w val="0.21228217619277828"/>
          <c:h val="0.3436151953612574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6350" cap="flat" cmpd="sng" algn="ctr">
      <a:solidFill>
        <a:schemeClr val="tx1"/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AU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Quality score vs. </a:t>
            </a:r>
            <a:r>
              <a:rPr lang="en-AU" sz="1400" b="0" i="1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cs typeface="Times New Roman" panose="02020603050405020304" pitchFamily="18" charset="0"/>
              </a:rPr>
              <a:t>σ</a:t>
            </a:r>
            <a:r>
              <a:rPr lang="en-AU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cs typeface="Times New Roman" panose="02020603050405020304" pitchFamily="18" charset="0"/>
              </a:rPr>
              <a:t> : Various R9 Basecallers</a:t>
            </a:r>
            <a:endParaRPr lang="en-AU" sz="1400" b="0" i="0" u="none" strike="noStrike" kern="1200" spc="0" baseline="0">
              <a:solidFill>
                <a:sysClr val="windowText" lastClr="000000">
                  <a:lumMod val="65000"/>
                  <a:lumOff val="35000"/>
                </a:sysClr>
              </a:solidFill>
            </a:endParaRPr>
          </a:p>
        </c:rich>
      </c:tx>
      <c:layout>
        <c:manualLayout>
          <c:xMode val="edge"/>
          <c:yMode val="edge"/>
          <c:x val="0.19931033302348541"/>
          <c:y val="3.2615647977022051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1368158226066076"/>
          <c:y val="0.15826550596557501"/>
          <c:w val="0.66061018822016926"/>
          <c:h val="0.65642128030386226"/>
        </c:manualLayout>
      </c:layout>
      <c:scatterChart>
        <c:scatterStyle val="lineMarker"/>
        <c:varyColors val="0"/>
        <c:ser>
          <c:idx val="1"/>
          <c:order val="0"/>
          <c:tx>
            <c:v>Scrappie</c:v>
          </c:tx>
          <c:spPr>
            <a:ln w="19050" cap="rnd">
              <a:solidFill>
                <a:srgbClr val="FF0000"/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rgbClr val="FF0000"/>
              </a:solidFill>
              <a:ln w="9525">
                <a:solidFill>
                  <a:srgbClr val="FF0000"/>
                </a:solidFill>
              </a:ln>
              <a:effectLst/>
            </c:spPr>
          </c:marker>
          <c:errBars>
            <c:errDir val="x"/>
            <c:errBarType val="both"/>
            <c:errValType val="stdErr"/>
            <c:noEndCap val="0"/>
            <c:spPr>
              <a:noFill/>
              <a:ln w="9525" cap="flat" cmpd="sng" algn="ctr">
                <a:noFill/>
                <a:round/>
              </a:ln>
              <a:effectLst/>
            </c:spPr>
          </c:errBars>
          <c:errBars>
            <c:errDir val="y"/>
            <c:errBarType val="both"/>
            <c:errValType val="cust"/>
            <c:noEndCap val="0"/>
            <c:plus>
              <c:numRef>
                <c:f>'R9.S.-.sd'!$O$3:$O$23</c:f>
                <c:numCache>
                  <c:formatCode>General</c:formatCode>
                  <c:ptCount val="21"/>
                  <c:pt idx="0">
                    <c:v>0.10025912297167139</c:v>
                  </c:pt>
                  <c:pt idx="1">
                    <c:v>9.8730027186625158E-2</c:v>
                  </c:pt>
                  <c:pt idx="2">
                    <c:v>8.9651401868573899E-2</c:v>
                  </c:pt>
                  <c:pt idx="3">
                    <c:v>8.9650987414259475E-2</c:v>
                  </c:pt>
                  <c:pt idx="4">
                    <c:v>9.1974121093378436E-2</c:v>
                  </c:pt>
                  <c:pt idx="5">
                    <c:v>9.1106741251928192E-2</c:v>
                  </c:pt>
                  <c:pt idx="6">
                    <c:v>8.7051665770627729E-2</c:v>
                  </c:pt>
                  <c:pt idx="7">
                    <c:v>8.5296274973736708E-2</c:v>
                  </c:pt>
                  <c:pt idx="8">
                    <c:v>9.0845432061260389E-2</c:v>
                  </c:pt>
                  <c:pt idx="9">
                    <c:v>8.1164115203435472E-2</c:v>
                  </c:pt>
                  <c:pt idx="10">
                    <c:v>7.9985297529757027E-2</c:v>
                  </c:pt>
                  <c:pt idx="11">
                    <c:v>7.0716946422857418E-2</c:v>
                  </c:pt>
                  <c:pt idx="12">
                    <c:v>7.4507157900529641E-2</c:v>
                  </c:pt>
                  <c:pt idx="13">
                    <c:v>6.7969841249698071E-2</c:v>
                  </c:pt>
                  <c:pt idx="14">
                    <c:v>6.3788810716066457E-2</c:v>
                  </c:pt>
                  <c:pt idx="15">
                    <c:v>5.9575211848248877E-2</c:v>
                  </c:pt>
                  <c:pt idx="16">
                    <c:v>5.9555385227775481E-2</c:v>
                  </c:pt>
                  <c:pt idx="17">
                    <c:v>5.5763794583316262E-2</c:v>
                  </c:pt>
                  <c:pt idx="18">
                    <c:v>5.8963422929219078E-2</c:v>
                  </c:pt>
                  <c:pt idx="19">
                    <c:v>5.5147137691305304E-2</c:v>
                  </c:pt>
                  <c:pt idx="20">
                    <c:v>4.8451484080407781E-2</c:v>
                  </c:pt>
                </c:numCache>
              </c:numRef>
            </c:plus>
            <c:minus>
              <c:numRef>
                <c:f>'R9.S.-.sd'!$N$3:$N$23</c:f>
                <c:numCache>
                  <c:formatCode>General</c:formatCode>
                  <c:ptCount val="21"/>
                  <c:pt idx="0">
                    <c:v>9.7996719899562379E-2</c:v>
                  </c:pt>
                  <c:pt idx="1">
                    <c:v>9.653535514041689E-2</c:v>
                  </c:pt>
                  <c:pt idx="2">
                    <c:v>8.7838097103743351E-2</c:v>
                  </c:pt>
                  <c:pt idx="3">
                    <c:v>8.7837699246056999E-2</c:v>
                  </c:pt>
                  <c:pt idx="4">
                    <c:v>9.0066635915936111E-2</c:v>
                  </c:pt>
                  <c:pt idx="5">
                    <c:v>8.9234699346916635E-2</c:v>
                  </c:pt>
                  <c:pt idx="6">
                    <c:v>8.5341001576884068E-2</c:v>
                  </c:pt>
                  <c:pt idx="7">
                    <c:v>8.3653257053621921E-2</c:v>
                  </c:pt>
                  <c:pt idx="8">
                    <c:v>8.8984004076320566E-2</c:v>
                  </c:pt>
                  <c:pt idx="9">
                    <c:v>7.9675047356519535E-2</c:v>
                  </c:pt>
                  <c:pt idx="10">
                    <c:v>7.853878537355552E-2</c:v>
                  </c:pt>
                  <c:pt idx="11">
                    <c:v>6.9583875118130578E-2</c:v>
                  </c:pt>
                  <c:pt idx="12">
                    <c:v>7.3250449686845798E-2</c:v>
                  </c:pt>
                  <c:pt idx="13">
                    <c:v>6.6922441539452926E-2</c:v>
                  </c:pt>
                  <c:pt idx="14">
                    <c:v>6.2865432140284838E-2</c:v>
                  </c:pt>
                  <c:pt idx="15">
                    <c:v>5.8769023573767676E-2</c:v>
                  </c:pt>
                  <c:pt idx="16">
                    <c:v>5.8749729842476839E-2</c:v>
                  </c:pt>
                  <c:pt idx="17">
                    <c:v>5.5056850180740469E-2</c:v>
                  </c:pt>
                  <c:pt idx="18">
                    <c:v>5.8173597917777542E-2</c:v>
                  </c:pt>
                  <c:pt idx="19">
                    <c:v>5.4455645409783315E-2</c:v>
                  </c:pt>
                  <c:pt idx="20">
                    <c:v>4.7916900097964454E-2</c:v>
                  </c:pt>
                </c:numCache>
              </c:numRef>
            </c:minus>
            <c:spPr>
              <a:noFill/>
              <a:ln w="9525" cap="flat" cmpd="sng" algn="ctr">
                <a:solidFill>
                  <a:schemeClr val="tx1">
                    <a:lumMod val="65000"/>
                    <a:lumOff val="35000"/>
                  </a:schemeClr>
                </a:solidFill>
                <a:round/>
              </a:ln>
              <a:effectLst/>
            </c:spPr>
          </c:errBars>
          <c:xVal>
            <c:numRef>
              <c:f>'R9.S.-.sd'!$D$3:$D$23</c:f>
              <c:numCache>
                <c:formatCode>#,##0.00</c:formatCode>
                <c:ptCount val="21"/>
                <c:pt idx="0">
                  <c:v>0</c:v>
                </c:pt>
                <c:pt idx="1">
                  <c:v>0.01</c:v>
                </c:pt>
                <c:pt idx="2">
                  <c:v>0.02</c:v>
                </c:pt>
                <c:pt idx="3">
                  <c:v>0.03</c:v>
                </c:pt>
                <c:pt idx="4">
                  <c:v>0.04</c:v>
                </c:pt>
                <c:pt idx="5">
                  <c:v>0.05</c:v>
                </c:pt>
                <c:pt idx="6">
                  <c:v>0.06</c:v>
                </c:pt>
                <c:pt idx="7">
                  <c:v>7.0000000000000007E-2</c:v>
                </c:pt>
                <c:pt idx="8">
                  <c:v>0.08</c:v>
                </c:pt>
                <c:pt idx="9">
                  <c:v>0.09</c:v>
                </c:pt>
                <c:pt idx="10">
                  <c:v>0.1</c:v>
                </c:pt>
                <c:pt idx="11">
                  <c:v>0.11</c:v>
                </c:pt>
                <c:pt idx="12">
                  <c:v>0.12</c:v>
                </c:pt>
                <c:pt idx="13">
                  <c:v>0.13</c:v>
                </c:pt>
                <c:pt idx="14">
                  <c:v>0.14000000000000001</c:v>
                </c:pt>
                <c:pt idx="15">
                  <c:v>0.15</c:v>
                </c:pt>
                <c:pt idx="16">
                  <c:v>0.16</c:v>
                </c:pt>
                <c:pt idx="17">
                  <c:v>0.17</c:v>
                </c:pt>
                <c:pt idx="18">
                  <c:v>0.18</c:v>
                </c:pt>
                <c:pt idx="19">
                  <c:v>0.19</c:v>
                </c:pt>
                <c:pt idx="20">
                  <c:v>0.2</c:v>
                </c:pt>
              </c:numCache>
            </c:numRef>
          </c:xVal>
          <c:yVal>
            <c:numRef>
              <c:f>'R9.S.-.sd'!$K$3:$K$23</c:f>
              <c:numCache>
                <c:formatCode>#,##0.0000</c:formatCode>
                <c:ptCount val="21"/>
                <c:pt idx="0">
                  <c:v>7.4092401580136915</c:v>
                </c:pt>
                <c:pt idx="1">
                  <c:v>7.4734920161137621</c:v>
                </c:pt>
                <c:pt idx="2">
                  <c:v>7.5358349318760567</c:v>
                </c:pt>
                <c:pt idx="3">
                  <c:v>7.3961056404618635</c:v>
                </c:pt>
                <c:pt idx="4">
                  <c:v>7.4312196818127552</c:v>
                </c:pt>
                <c:pt idx="5">
                  <c:v>7.4224145192703483</c:v>
                </c:pt>
                <c:pt idx="6">
                  <c:v>7.4484814901106997</c:v>
                </c:pt>
                <c:pt idx="7">
                  <c:v>7.3161706763267409</c:v>
                </c:pt>
                <c:pt idx="8">
                  <c:v>7.1889084626191293</c:v>
                </c:pt>
                <c:pt idx="9">
                  <c:v>7.0748549692991585</c:v>
                </c:pt>
                <c:pt idx="10">
                  <c:v>6.8068569590948789</c:v>
                </c:pt>
                <c:pt idx="11">
                  <c:v>6.6621697405096203</c:v>
                </c:pt>
                <c:pt idx="12">
                  <c:v>6.3233353589181593</c:v>
                </c:pt>
                <c:pt idx="13">
                  <c:v>5.9940445385468566</c:v>
                </c:pt>
                <c:pt idx="14">
                  <c:v>5.7127142807734366</c:v>
                </c:pt>
                <c:pt idx="15">
                  <c:v>5.3518765856216044</c:v>
                </c:pt>
                <c:pt idx="16">
                  <c:v>4.9113374906154208</c:v>
                </c:pt>
                <c:pt idx="17">
                  <c:v>4.5663566892311103</c:v>
                </c:pt>
                <c:pt idx="18">
                  <c:v>4.220680012363502</c:v>
                </c:pt>
                <c:pt idx="19">
                  <c:v>3.8772841846016659</c:v>
                </c:pt>
                <c:pt idx="20">
                  <c:v>3.5661313069355871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F4A4-4DA6-B721-704748A81552}"/>
            </c:ext>
          </c:extLst>
        </c:ser>
        <c:ser>
          <c:idx val="0"/>
          <c:order val="1"/>
          <c:tx>
            <c:v>Dorado 'fast'</c:v>
          </c:tx>
          <c:spPr>
            <a:ln w="19050" cap="rnd">
              <a:solidFill>
                <a:schemeClr val="accent1">
                  <a:lumMod val="40000"/>
                  <a:lumOff val="60000"/>
                </a:schemeClr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chemeClr val="accent5"/>
              </a:solidFill>
              <a:ln w="9525">
                <a:solidFill>
                  <a:schemeClr val="accent1">
                    <a:lumMod val="40000"/>
                    <a:lumOff val="60000"/>
                  </a:schemeClr>
                </a:solidFill>
              </a:ln>
              <a:effectLst/>
            </c:spPr>
          </c:marker>
          <c:errBars>
            <c:errDir val="x"/>
            <c:errBarType val="both"/>
            <c:errValType val="stdErr"/>
            <c:noEndCap val="0"/>
            <c:spPr>
              <a:noFill/>
              <a:ln w="9525" cap="flat" cmpd="sng" algn="ctr">
                <a:noFill/>
                <a:round/>
              </a:ln>
              <a:effectLst/>
            </c:spPr>
          </c:errBars>
          <c:errBars>
            <c:errDir val="y"/>
            <c:errBarType val="both"/>
            <c:errValType val="cust"/>
            <c:noEndCap val="0"/>
            <c:plus>
              <c:numRef>
                <c:f>'R9.S.-.sd'!$O$25:$O$45</c:f>
                <c:numCache>
                  <c:formatCode>General</c:formatCode>
                  <c:ptCount val="21"/>
                  <c:pt idx="0">
                    <c:v>5.1602966596982824E-2</c:v>
                  </c:pt>
                  <c:pt idx="1">
                    <c:v>5.0948446069343234E-2</c:v>
                  </c:pt>
                  <c:pt idx="2">
                    <c:v>5.1378476817506069E-2</c:v>
                  </c:pt>
                  <c:pt idx="3">
                    <c:v>5.2307333497459751E-2</c:v>
                  </c:pt>
                  <c:pt idx="4">
                    <c:v>5.2374960180280539E-2</c:v>
                  </c:pt>
                  <c:pt idx="5">
                    <c:v>5.3541133852386125E-2</c:v>
                  </c:pt>
                  <c:pt idx="6">
                    <c:v>5.337067031224052E-2</c:v>
                  </c:pt>
                  <c:pt idx="7">
                    <c:v>5.5225197713260066E-2</c:v>
                  </c:pt>
                  <c:pt idx="8">
                    <c:v>4.9635984420714152E-2</c:v>
                  </c:pt>
                  <c:pt idx="9">
                    <c:v>5.1230311646638604E-2</c:v>
                  </c:pt>
                  <c:pt idx="10">
                    <c:v>4.7066571266463519E-2</c:v>
                  </c:pt>
                  <c:pt idx="11">
                    <c:v>4.1558739975397607E-2</c:v>
                  </c:pt>
                  <c:pt idx="12">
                    <c:v>3.9900502031704477E-2</c:v>
                  </c:pt>
                  <c:pt idx="13">
                    <c:v>4.0809804423320273E-2</c:v>
                  </c:pt>
                  <c:pt idx="14">
                    <c:v>4.9088481684218976E-2</c:v>
                  </c:pt>
                  <c:pt idx="15">
                    <c:v>5.9163362677665532E-2</c:v>
                  </c:pt>
                  <c:pt idx="16">
                    <c:v>6.0433688191332102E-2</c:v>
                  </c:pt>
                  <c:pt idx="17">
                    <c:v>4.5209334445877047E-2</c:v>
                  </c:pt>
                  <c:pt idx="18">
                    <c:v>2.8983416514667404E-2</c:v>
                  </c:pt>
                  <c:pt idx="19">
                    <c:v>1.4035727092509998E-2</c:v>
                  </c:pt>
                  <c:pt idx="20">
                    <c:v>9.4233519816206979E-3</c:v>
                  </c:pt>
                </c:numCache>
              </c:numRef>
            </c:plus>
            <c:minus>
              <c:numRef>
                <c:f>'R9.S.-.sd'!$N$25:$N$45</c:f>
                <c:numCache>
                  <c:formatCode>General</c:formatCode>
                  <c:ptCount val="21"/>
                  <c:pt idx="0">
                    <c:v>5.0997011925566049E-2</c:v>
                  </c:pt>
                  <c:pt idx="1">
                    <c:v>5.035767768156596E-2</c:v>
                  </c:pt>
                  <c:pt idx="2">
                    <c:v>5.077775225212644E-2</c:v>
                  </c:pt>
                  <c:pt idx="3">
                    <c:v>5.168482326703483E-2</c:v>
                  </c:pt>
                  <c:pt idx="4">
                    <c:v>5.1750848841255248E-2</c:v>
                  </c:pt>
                  <c:pt idx="5">
                    <c:v>5.2889093001128096E-2</c:v>
                  </c:pt>
                  <c:pt idx="6">
                    <c:v>5.2722749697986515E-2</c:v>
                  </c:pt>
                  <c:pt idx="7">
                    <c:v>5.4531758732621505E-2</c:v>
                  </c:pt>
                  <c:pt idx="8">
                    <c:v>4.9075093847329221E-2</c:v>
                  </c:pt>
                  <c:pt idx="9">
                    <c:v>5.0633026722410435E-2</c:v>
                  </c:pt>
                  <c:pt idx="10">
                    <c:v>4.6561952222565317E-2</c:v>
                  </c:pt>
                  <c:pt idx="11">
                    <c:v>4.1164820395679591E-2</c:v>
                  </c:pt>
                  <c:pt idx="12">
                    <c:v>3.953725374402417E-2</c:v>
                  </c:pt>
                  <c:pt idx="13">
                    <c:v>4.0429889873373703E-2</c:v>
                  </c:pt>
                  <c:pt idx="14">
                    <c:v>4.8539828257957218E-2</c:v>
                  </c:pt>
                  <c:pt idx="15">
                    <c:v>5.8368208168329438E-2</c:v>
                  </c:pt>
                  <c:pt idx="16">
                    <c:v>5.9604259608195598E-2</c:v>
                  </c:pt>
                  <c:pt idx="17">
                    <c:v>4.4743557281190949E-2</c:v>
                  </c:pt>
                  <c:pt idx="18">
                    <c:v>2.8791272118830147E-2</c:v>
                  </c:pt>
                  <c:pt idx="19">
                    <c:v>1.3990511879061529E-2</c:v>
                  </c:pt>
                  <c:pt idx="20">
                    <c:v>9.402949388419124E-3</c:v>
                  </c:pt>
                </c:numCache>
              </c:numRef>
            </c:minus>
            <c:spPr>
              <a:noFill/>
              <a:ln w="9525" cap="flat" cmpd="sng" algn="ctr">
                <a:solidFill>
                  <a:schemeClr val="tx1">
                    <a:lumMod val="65000"/>
                    <a:lumOff val="35000"/>
                  </a:schemeClr>
                </a:solidFill>
                <a:round/>
              </a:ln>
              <a:effectLst/>
            </c:spPr>
          </c:errBars>
          <c:xVal>
            <c:numRef>
              <c:f>'R9.S.-.sd'!$D$25:$D$45</c:f>
              <c:numCache>
                <c:formatCode>#,##0.00</c:formatCode>
                <c:ptCount val="21"/>
                <c:pt idx="0">
                  <c:v>0</c:v>
                </c:pt>
                <c:pt idx="1">
                  <c:v>0.01</c:v>
                </c:pt>
                <c:pt idx="2">
                  <c:v>0.02</c:v>
                </c:pt>
                <c:pt idx="3">
                  <c:v>0.03</c:v>
                </c:pt>
                <c:pt idx="4">
                  <c:v>0.04</c:v>
                </c:pt>
                <c:pt idx="5">
                  <c:v>0.05</c:v>
                </c:pt>
                <c:pt idx="6">
                  <c:v>0.06</c:v>
                </c:pt>
                <c:pt idx="7">
                  <c:v>7.0000000000000007E-2</c:v>
                </c:pt>
                <c:pt idx="8">
                  <c:v>0.08</c:v>
                </c:pt>
                <c:pt idx="9">
                  <c:v>0.09</c:v>
                </c:pt>
                <c:pt idx="10">
                  <c:v>0.1</c:v>
                </c:pt>
                <c:pt idx="11">
                  <c:v>0.11</c:v>
                </c:pt>
                <c:pt idx="12">
                  <c:v>0.12</c:v>
                </c:pt>
                <c:pt idx="13">
                  <c:v>0.13</c:v>
                </c:pt>
                <c:pt idx="14">
                  <c:v>0.14000000000000001</c:v>
                </c:pt>
                <c:pt idx="15">
                  <c:v>0.15</c:v>
                </c:pt>
                <c:pt idx="16">
                  <c:v>0.16</c:v>
                </c:pt>
                <c:pt idx="17">
                  <c:v>0.17</c:v>
                </c:pt>
                <c:pt idx="18">
                  <c:v>0.18</c:v>
                </c:pt>
                <c:pt idx="19">
                  <c:v>0.19</c:v>
                </c:pt>
                <c:pt idx="20">
                  <c:v>0.2</c:v>
                </c:pt>
              </c:numCache>
            </c:numRef>
          </c:xVal>
          <c:yVal>
            <c:numRef>
              <c:f>'R9.S.-.sd'!$K$25:$K$45</c:f>
              <c:numCache>
                <c:formatCode>#,##0.0000</c:formatCode>
                <c:ptCount val="21"/>
                <c:pt idx="0">
                  <c:v>6.6200859652984985</c:v>
                </c:pt>
                <c:pt idx="1">
                  <c:v>6.6087995472787942</c:v>
                </c:pt>
                <c:pt idx="2">
                  <c:v>6.7107701897157419</c:v>
                </c:pt>
                <c:pt idx="3">
                  <c:v>6.7791859841913737</c:v>
                </c:pt>
                <c:pt idx="4">
                  <c:v>6.9429044951707066</c:v>
                </c:pt>
                <c:pt idx="5">
                  <c:v>7.2117021371553047</c:v>
                </c:pt>
                <c:pt idx="6">
                  <c:v>7.3608790095148748</c:v>
                </c:pt>
                <c:pt idx="7">
                  <c:v>7.5870261289000682</c:v>
                </c:pt>
                <c:pt idx="8">
                  <c:v>7.7637428330620404</c:v>
                </c:pt>
                <c:pt idx="9">
                  <c:v>7.8207759589836829</c:v>
                </c:pt>
                <c:pt idx="10">
                  <c:v>7.9084257665246129</c:v>
                </c:pt>
                <c:pt idx="11">
                  <c:v>7.7633103334531555</c:v>
                </c:pt>
                <c:pt idx="12">
                  <c:v>7.5202673363819326</c:v>
                </c:pt>
                <c:pt idx="13">
                  <c:v>7.0641648650388325</c:v>
                </c:pt>
                <c:pt idx="14">
                  <c:v>6.2653627836763093</c:v>
                </c:pt>
                <c:pt idx="15">
                  <c:v>5.2636707312615885</c:v>
                </c:pt>
                <c:pt idx="16">
                  <c:v>4.19398110622123</c:v>
                </c:pt>
                <c:pt idx="17">
                  <c:v>3.4844740741107221</c:v>
                </c:pt>
                <c:pt idx="18">
                  <c:v>3.0611190556166297</c:v>
                </c:pt>
                <c:pt idx="19">
                  <c:v>2.835236444215679</c:v>
                </c:pt>
                <c:pt idx="20">
                  <c:v>2.7496000770030928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F4A4-4DA6-B721-704748A81552}"/>
            </c:ext>
          </c:extLst>
        </c:ser>
        <c:ser>
          <c:idx val="2"/>
          <c:order val="2"/>
          <c:tx>
            <c:v>Dorado 'hac'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chemeClr val="accent6"/>
              </a:solidFill>
              <a:ln w="9525">
                <a:solidFill>
                  <a:schemeClr val="accent1"/>
                </a:solidFill>
              </a:ln>
              <a:effectLst/>
            </c:spPr>
          </c:marker>
          <c:errBars>
            <c:errDir val="x"/>
            <c:errBarType val="both"/>
            <c:errValType val="stdErr"/>
            <c:noEndCap val="0"/>
            <c:spPr>
              <a:noFill/>
              <a:ln w="9525" cap="flat" cmpd="sng" algn="ctr">
                <a:noFill/>
                <a:round/>
              </a:ln>
              <a:effectLst/>
            </c:spPr>
          </c:errBars>
          <c:errBars>
            <c:errDir val="y"/>
            <c:errBarType val="both"/>
            <c:errValType val="cust"/>
            <c:noEndCap val="0"/>
            <c:plus>
              <c:numRef>
                <c:f>'R9.S.-.sd'!$O$47:$O$67</c:f>
                <c:numCache>
                  <c:formatCode>General</c:formatCode>
                  <c:ptCount val="21"/>
                  <c:pt idx="0">
                    <c:v>6.4728808622746214E-2</c:v>
                  </c:pt>
                  <c:pt idx="1">
                    <c:v>6.0695559102251551E-2</c:v>
                  </c:pt>
                  <c:pt idx="2">
                    <c:v>6.1370552339598206E-2</c:v>
                  </c:pt>
                  <c:pt idx="3">
                    <c:v>5.79698830429205E-2</c:v>
                  </c:pt>
                  <c:pt idx="4">
                    <c:v>5.9944126799489794E-2</c:v>
                  </c:pt>
                  <c:pt idx="5">
                    <c:v>5.7609876924823666E-2</c:v>
                  </c:pt>
                  <c:pt idx="6">
                    <c:v>5.6869967475924099E-2</c:v>
                  </c:pt>
                  <c:pt idx="7">
                    <c:v>5.3762619222981201E-2</c:v>
                  </c:pt>
                  <c:pt idx="8">
                    <c:v>5.4471078997558209E-2</c:v>
                  </c:pt>
                  <c:pt idx="9">
                    <c:v>5.4404296674606556E-2</c:v>
                  </c:pt>
                  <c:pt idx="10">
                    <c:v>5.521970963392242E-2</c:v>
                  </c:pt>
                  <c:pt idx="11">
                    <c:v>5.1231846918133428E-2</c:v>
                  </c:pt>
                  <c:pt idx="12">
                    <c:v>5.0516021859408511E-2</c:v>
                  </c:pt>
                  <c:pt idx="13">
                    <c:v>4.7021877393728317E-2</c:v>
                  </c:pt>
                  <c:pt idx="14">
                    <c:v>4.4526636332978597E-2</c:v>
                  </c:pt>
                  <c:pt idx="15">
                    <c:v>4.2168029886809677E-2</c:v>
                  </c:pt>
                  <c:pt idx="16">
                    <c:v>3.7610640265071105E-2</c:v>
                  </c:pt>
                  <c:pt idx="17">
                    <c:v>3.6310325806072186E-2</c:v>
                  </c:pt>
                  <c:pt idx="18">
                    <c:v>3.3059424908342017E-2</c:v>
                  </c:pt>
                  <c:pt idx="19">
                    <c:v>3.3080035645246753E-2</c:v>
                  </c:pt>
                  <c:pt idx="20">
                    <c:v>3.1605506619634127E-2</c:v>
                  </c:pt>
                </c:numCache>
              </c:numRef>
            </c:plus>
            <c:minus>
              <c:numRef>
                <c:f>'R9.S.-.sd'!$N$47:$N$67</c:f>
                <c:numCache>
                  <c:formatCode>General</c:formatCode>
                  <c:ptCount val="21"/>
                  <c:pt idx="0">
                    <c:v>6.3778217830556372E-2</c:v>
                  </c:pt>
                  <c:pt idx="1">
                    <c:v>5.9858976434403743E-2</c:v>
                  </c:pt>
                  <c:pt idx="2">
                    <c:v>6.0515389773525996E-2</c:v>
                  </c:pt>
                  <c:pt idx="3">
                    <c:v>5.7206279074817346E-2</c:v>
                  </c:pt>
                  <c:pt idx="4">
                    <c:v>5.9127991328667306E-2</c:v>
                  </c:pt>
                  <c:pt idx="5">
                    <c:v>5.6855666251326653E-2</c:v>
                  </c:pt>
                  <c:pt idx="6">
                    <c:v>5.6134882390347585E-2</c:v>
                  </c:pt>
                  <c:pt idx="7">
                    <c:v>5.3105205628460439E-2</c:v>
                  </c:pt>
                  <c:pt idx="8">
                    <c:v>5.379633354356983E-2</c:v>
                  </c:pt>
                  <c:pt idx="9">
                    <c:v>5.3731194500196366E-2</c:v>
                  </c:pt>
                  <c:pt idx="10">
                    <c:v>5.4526407606005023E-2</c:v>
                  </c:pt>
                  <c:pt idx="11">
                    <c:v>5.0634526402760116E-2</c:v>
                  </c:pt>
                  <c:pt idx="12">
                    <c:v>4.9935182136239931E-2</c:v>
                  </c:pt>
                  <c:pt idx="13">
                    <c:v>4.6518211136969967E-2</c:v>
                  </c:pt>
                  <c:pt idx="14">
                    <c:v>4.4074750006235064E-2</c:v>
                  </c:pt>
                  <c:pt idx="15">
                    <c:v>4.1762531440579842E-2</c:v>
                  </c:pt>
                  <c:pt idx="16">
                    <c:v>3.7287720269198132E-2</c:v>
                  </c:pt>
                  <c:pt idx="17">
                    <c:v>3.6009259238838354E-2</c:v>
                  </c:pt>
                  <c:pt idx="18">
                    <c:v>3.2809669489366478E-2</c:v>
                  </c:pt>
                  <c:pt idx="19">
                    <c:v>3.2829969887928634E-2</c:v>
                  </c:pt>
                  <c:pt idx="20">
                    <c:v>3.1377160316710118E-2</c:v>
                  </c:pt>
                </c:numCache>
              </c:numRef>
            </c:minus>
            <c:spPr>
              <a:noFill/>
              <a:ln w="9525" cap="flat" cmpd="sng" algn="ctr">
                <a:solidFill>
                  <a:schemeClr val="tx1">
                    <a:lumMod val="65000"/>
                    <a:lumOff val="35000"/>
                  </a:schemeClr>
                </a:solidFill>
                <a:round/>
              </a:ln>
              <a:effectLst/>
            </c:spPr>
          </c:errBars>
          <c:xVal>
            <c:numRef>
              <c:f>'R9.S.-.sd'!$D$47:$D$67</c:f>
              <c:numCache>
                <c:formatCode>#,##0.00</c:formatCode>
                <c:ptCount val="21"/>
                <c:pt idx="0">
                  <c:v>0</c:v>
                </c:pt>
                <c:pt idx="1">
                  <c:v>0.01</c:v>
                </c:pt>
                <c:pt idx="2">
                  <c:v>0.02</c:v>
                </c:pt>
                <c:pt idx="3">
                  <c:v>0.03</c:v>
                </c:pt>
                <c:pt idx="4">
                  <c:v>0.04</c:v>
                </c:pt>
                <c:pt idx="5">
                  <c:v>0.05</c:v>
                </c:pt>
                <c:pt idx="6">
                  <c:v>0.06</c:v>
                </c:pt>
                <c:pt idx="7">
                  <c:v>7.0000000000000007E-2</c:v>
                </c:pt>
                <c:pt idx="8">
                  <c:v>0.08</c:v>
                </c:pt>
                <c:pt idx="9">
                  <c:v>0.09</c:v>
                </c:pt>
                <c:pt idx="10">
                  <c:v>0.1</c:v>
                </c:pt>
                <c:pt idx="11">
                  <c:v>0.11</c:v>
                </c:pt>
                <c:pt idx="12">
                  <c:v>0.12</c:v>
                </c:pt>
                <c:pt idx="13">
                  <c:v>0.13</c:v>
                </c:pt>
                <c:pt idx="14">
                  <c:v>0.14000000000000001</c:v>
                </c:pt>
                <c:pt idx="15">
                  <c:v>0.15</c:v>
                </c:pt>
                <c:pt idx="16">
                  <c:v>0.16</c:v>
                </c:pt>
                <c:pt idx="17">
                  <c:v>0.17</c:v>
                </c:pt>
                <c:pt idx="18">
                  <c:v>0.18</c:v>
                </c:pt>
                <c:pt idx="19">
                  <c:v>0.19</c:v>
                </c:pt>
                <c:pt idx="20">
                  <c:v>0.2</c:v>
                </c:pt>
              </c:numCache>
            </c:numRef>
          </c:xVal>
          <c:yVal>
            <c:numRef>
              <c:f>'R9.S.-.sd'!$K$47:$K$67</c:f>
              <c:numCache>
                <c:formatCode>#,##0.0000</c:formatCode>
                <c:ptCount val="21"/>
                <c:pt idx="0">
                  <c:v>9.1667658152647498</c:v>
                </c:pt>
                <c:pt idx="1">
                  <c:v>9.2384520858256298</c:v>
                </c:pt>
                <c:pt idx="2">
                  <c:v>9.2402746828247668</c:v>
                </c:pt>
                <c:pt idx="3">
                  <c:v>9.2202680614134334</c:v>
                </c:pt>
                <c:pt idx="4">
                  <c:v>9.1227772217582892</c:v>
                </c:pt>
                <c:pt idx="5">
                  <c:v>9.0106799373299307</c:v>
                </c:pt>
                <c:pt idx="6">
                  <c:v>8.7484417041946987</c:v>
                </c:pt>
                <c:pt idx="7">
                  <c:v>8.6159203108252971</c:v>
                </c:pt>
                <c:pt idx="8">
                  <c:v>8.5444105598708084</c:v>
                </c:pt>
                <c:pt idx="9">
                  <c:v>8.510890068906436</c:v>
                </c:pt>
                <c:pt idx="10">
                  <c:v>8.5495905996297612</c:v>
                </c:pt>
                <c:pt idx="11">
                  <c:v>8.5314874270266614</c:v>
                </c:pt>
                <c:pt idx="12">
                  <c:v>8.4219078139447703</c:v>
                </c:pt>
                <c:pt idx="13">
                  <c:v>8.229928634578501</c:v>
                </c:pt>
                <c:pt idx="14">
                  <c:v>8.0193887326626658</c:v>
                </c:pt>
                <c:pt idx="15">
                  <c:v>7.5986694195711282</c:v>
                </c:pt>
                <c:pt idx="16">
                  <c:v>7.215131530039911</c:v>
                </c:pt>
                <c:pt idx="17">
                  <c:v>6.8595712968632752</c:v>
                </c:pt>
                <c:pt idx="18">
                  <c:v>6.5892836346006023</c:v>
                </c:pt>
                <c:pt idx="19">
                  <c:v>6.3100072517357297</c:v>
                </c:pt>
                <c:pt idx="20">
                  <c:v>6.0449887569437415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F4A4-4DA6-B721-704748A81552}"/>
            </c:ext>
          </c:extLst>
        </c:ser>
        <c:ser>
          <c:idx val="3"/>
          <c:order val="3"/>
          <c:tx>
            <c:v>Dorado 'sup'</c:v>
          </c:tx>
          <c:spPr>
            <a:ln w="19050" cap="rnd">
              <a:solidFill>
                <a:schemeClr val="accent1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chemeClr val="accent4"/>
              </a:solidFill>
              <a:ln w="9525">
                <a:solidFill>
                  <a:schemeClr val="accent1">
                    <a:lumMod val="50000"/>
                  </a:schemeClr>
                </a:solidFill>
              </a:ln>
              <a:effectLst/>
            </c:spPr>
          </c:marker>
          <c:errBars>
            <c:errDir val="x"/>
            <c:errBarType val="both"/>
            <c:errValType val="stdErr"/>
            <c:noEndCap val="0"/>
            <c:spPr>
              <a:noFill/>
              <a:ln w="9525" cap="flat" cmpd="sng" algn="ctr">
                <a:noFill/>
                <a:round/>
              </a:ln>
              <a:effectLst/>
            </c:spPr>
          </c:errBars>
          <c:errBars>
            <c:errDir val="y"/>
            <c:errBarType val="both"/>
            <c:errValType val="cust"/>
            <c:noEndCap val="0"/>
            <c:plus>
              <c:numRef>
                <c:f>'R9.S.-.sd'!$O$69:$O$89</c:f>
                <c:numCache>
                  <c:formatCode>General</c:formatCode>
                  <c:ptCount val="21"/>
                  <c:pt idx="0">
                    <c:v>7.3505741797060153E-2</c:v>
                  </c:pt>
                  <c:pt idx="1">
                    <c:v>7.6878679798504379E-2</c:v>
                  </c:pt>
                  <c:pt idx="2">
                    <c:v>7.7235956723695764E-2</c:v>
                  </c:pt>
                  <c:pt idx="3">
                    <c:v>7.3999270766742953E-2</c:v>
                  </c:pt>
                  <c:pt idx="4">
                    <c:v>7.3506967175307025E-2</c:v>
                  </c:pt>
                  <c:pt idx="5">
                    <c:v>7.1471107096426678E-2</c:v>
                  </c:pt>
                  <c:pt idx="6">
                    <c:v>6.9506055616406215E-2</c:v>
                  </c:pt>
                  <c:pt idx="7">
                    <c:v>7.2199400130177338E-2</c:v>
                  </c:pt>
                  <c:pt idx="8">
                    <c:v>6.8370283002968435E-2</c:v>
                  </c:pt>
                  <c:pt idx="9">
                    <c:v>6.2576399499047142E-2</c:v>
                  </c:pt>
                  <c:pt idx="10">
                    <c:v>6.1115977555976642E-2</c:v>
                  </c:pt>
                  <c:pt idx="11">
                    <c:v>5.8412428295159913E-2</c:v>
                  </c:pt>
                  <c:pt idx="12">
                    <c:v>5.4551520776547235E-2</c:v>
                  </c:pt>
                  <c:pt idx="13">
                    <c:v>5.6580679507831633E-2</c:v>
                  </c:pt>
                  <c:pt idx="14">
                    <c:v>5.3703127974838338E-2</c:v>
                  </c:pt>
                  <c:pt idx="15">
                    <c:v>5.0345528081281898E-2</c:v>
                  </c:pt>
                  <c:pt idx="16">
                    <c:v>4.8367884199046252E-2</c:v>
                  </c:pt>
                  <c:pt idx="17">
                    <c:v>4.8089206208912216E-2</c:v>
                  </c:pt>
                  <c:pt idx="18">
                    <c:v>4.1687390330045204E-2</c:v>
                  </c:pt>
                  <c:pt idx="19">
                    <c:v>3.8376518384886538E-2</c:v>
                  </c:pt>
                  <c:pt idx="20">
                    <c:v>3.5071696696683752E-2</c:v>
                  </c:pt>
                </c:numCache>
              </c:numRef>
            </c:plus>
            <c:minus>
              <c:numRef>
                <c:f>'R9.S.-.sd'!$N$69:$N$89</c:f>
                <c:numCache>
                  <c:formatCode>General</c:formatCode>
                  <c:ptCount val="21"/>
                  <c:pt idx="0">
                    <c:v>7.2282311639783714E-2</c:v>
                  </c:pt>
                  <c:pt idx="1">
                    <c:v>7.5541413632469911E-2</c:v>
                  </c:pt>
                  <c:pt idx="2">
                    <c:v>7.5886341154584258E-2</c:v>
                  </c:pt>
                  <c:pt idx="3">
                    <c:v>7.2759495020253695E-2</c:v>
                  </c:pt>
                  <c:pt idx="4">
                    <c:v>7.2283496565818339E-2</c:v>
                  </c:pt>
                  <c:pt idx="5">
                    <c:v>7.031393685736731E-2</c:v>
                  </c:pt>
                  <c:pt idx="6">
                    <c:v>6.8411155797299728E-2</c:v>
                  </c:pt>
                  <c:pt idx="7">
                    <c:v>7.1018720794880252E-2</c:v>
                  </c:pt>
                  <c:pt idx="8">
                    <c:v>6.7310601464965814E-2</c:v>
                  </c:pt>
                  <c:pt idx="9">
                    <c:v>6.1687544034072062E-2</c:v>
                  </c:pt>
                  <c:pt idx="10">
                    <c:v>6.0267846063815966E-2</c:v>
                  </c:pt>
                  <c:pt idx="11">
                    <c:v>5.7637198822034108E-2</c:v>
                  </c:pt>
                  <c:pt idx="12">
                    <c:v>5.3874793304451885E-2</c:v>
                  </c:pt>
                  <c:pt idx="13">
                    <c:v>5.5853006166840302E-2</c:v>
                  </c:pt>
                  <c:pt idx="14">
                    <c:v>5.3047159644830089E-2</c:v>
                  </c:pt>
                  <c:pt idx="15">
                    <c:v>4.9768580113788374E-2</c:v>
                  </c:pt>
                  <c:pt idx="16">
                    <c:v>4.7835133281139086E-2</c:v>
                  </c:pt>
                  <c:pt idx="17">
                    <c:v>4.7562543273798497E-2</c:v>
                  </c:pt>
                  <c:pt idx="18">
                    <c:v>4.1291039730829482E-2</c:v>
                  </c:pt>
                  <c:pt idx="19">
                    <c:v>3.8040371714501475E-2</c:v>
                  </c:pt>
                  <c:pt idx="20">
                    <c:v>3.4790740587283153E-2</c:v>
                  </c:pt>
                </c:numCache>
              </c:numRef>
            </c:minus>
            <c:spPr>
              <a:noFill/>
              <a:ln w="9525" cap="flat" cmpd="sng" algn="ctr">
                <a:solidFill>
                  <a:schemeClr val="tx1">
                    <a:lumMod val="65000"/>
                    <a:lumOff val="35000"/>
                  </a:schemeClr>
                </a:solidFill>
                <a:round/>
              </a:ln>
              <a:effectLst/>
            </c:spPr>
          </c:errBars>
          <c:xVal>
            <c:numRef>
              <c:f>'R9.S.-.sd'!$D$69:$D$89</c:f>
              <c:numCache>
                <c:formatCode>#,##0.00</c:formatCode>
                <c:ptCount val="21"/>
                <c:pt idx="0">
                  <c:v>0</c:v>
                </c:pt>
                <c:pt idx="1">
                  <c:v>0.01</c:v>
                </c:pt>
                <c:pt idx="2">
                  <c:v>0.02</c:v>
                </c:pt>
                <c:pt idx="3">
                  <c:v>0.03</c:v>
                </c:pt>
                <c:pt idx="4">
                  <c:v>0.04</c:v>
                </c:pt>
                <c:pt idx="5">
                  <c:v>0.05</c:v>
                </c:pt>
                <c:pt idx="6">
                  <c:v>0.06</c:v>
                </c:pt>
                <c:pt idx="7">
                  <c:v>7.0000000000000007E-2</c:v>
                </c:pt>
                <c:pt idx="8">
                  <c:v>0.08</c:v>
                </c:pt>
                <c:pt idx="9">
                  <c:v>0.09</c:v>
                </c:pt>
                <c:pt idx="10">
                  <c:v>0.1</c:v>
                </c:pt>
                <c:pt idx="11">
                  <c:v>0.11</c:v>
                </c:pt>
                <c:pt idx="12">
                  <c:v>0.12</c:v>
                </c:pt>
                <c:pt idx="13">
                  <c:v>0.13</c:v>
                </c:pt>
                <c:pt idx="14">
                  <c:v>0.14000000000000001</c:v>
                </c:pt>
                <c:pt idx="15">
                  <c:v>0.15</c:v>
                </c:pt>
                <c:pt idx="16">
                  <c:v>0.16</c:v>
                </c:pt>
                <c:pt idx="17">
                  <c:v>0.17</c:v>
                </c:pt>
                <c:pt idx="18">
                  <c:v>0.18</c:v>
                </c:pt>
                <c:pt idx="19">
                  <c:v>0.19</c:v>
                </c:pt>
                <c:pt idx="20">
                  <c:v>0.2</c:v>
                </c:pt>
              </c:numCache>
            </c:numRef>
          </c:xVal>
          <c:yVal>
            <c:numRef>
              <c:f>'R9.S.-.sd'!$K$69:$K$89</c:f>
              <c:numCache>
                <c:formatCode>#,##0.0000</c:formatCode>
                <c:ptCount val="21"/>
                <c:pt idx="0">
                  <c:v>9.138775535792643</c:v>
                </c:pt>
                <c:pt idx="1">
                  <c:v>9.1811286057645027</c:v>
                </c:pt>
                <c:pt idx="2">
                  <c:v>9.3716741306326572</c:v>
                </c:pt>
                <c:pt idx="3">
                  <c:v>9.4929809070700344</c:v>
                </c:pt>
                <c:pt idx="4">
                  <c:v>9.7524076096460384</c:v>
                </c:pt>
                <c:pt idx="5">
                  <c:v>10.01667994549962</c:v>
                </c:pt>
                <c:pt idx="6">
                  <c:v>10.114410431213845</c:v>
                </c:pt>
                <c:pt idx="7">
                  <c:v>10.046573581126729</c:v>
                </c:pt>
                <c:pt idx="8">
                  <c:v>9.9260788042705066</c:v>
                </c:pt>
                <c:pt idx="9">
                  <c:v>9.6791873238855946</c:v>
                </c:pt>
                <c:pt idx="10">
                  <c:v>9.5657222247163478</c:v>
                </c:pt>
                <c:pt idx="11">
                  <c:v>9.3967997131171472</c:v>
                </c:pt>
                <c:pt idx="12">
                  <c:v>9.217244779133992</c:v>
                </c:pt>
                <c:pt idx="13">
                  <c:v>8.9437628902838533</c:v>
                </c:pt>
                <c:pt idx="14">
                  <c:v>8.6779369311076611</c:v>
                </c:pt>
                <c:pt idx="15">
                  <c:v>8.2121483653944729</c:v>
                </c:pt>
                <c:pt idx="16">
                  <c:v>7.6827561667148352</c:v>
                </c:pt>
                <c:pt idx="17">
                  <c:v>7.0781779453058071</c:v>
                </c:pt>
                <c:pt idx="18">
                  <c:v>6.5195488246311273</c:v>
                </c:pt>
                <c:pt idx="19">
                  <c:v>5.9399947466024763</c:v>
                </c:pt>
                <c:pt idx="20">
                  <c:v>5.5126792199272678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F4A4-4DA6-B721-704748A8155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78679920"/>
        <c:axId val="802641424"/>
      </c:scatterChart>
      <c:valAx>
        <c:axId val="578679920"/>
        <c:scaling>
          <c:orientation val="minMax"/>
          <c:max val="0.2"/>
          <c:min val="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AU"/>
                  <a:t>Normalised</a:t>
                </a:r>
                <a:r>
                  <a:rPr lang="en-AU" baseline="0"/>
                  <a:t> noise, </a:t>
                </a:r>
                <a:r>
                  <a:rPr lang="en-AU" sz="1000" b="0" i="1" u="none" strike="noStrike" kern="1200" spc="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  <a:cs typeface="Times New Roman" panose="02020603050405020304" pitchFamily="18" charset="0"/>
                  </a:rPr>
                  <a:t>σ</a:t>
                </a:r>
                <a:r>
                  <a:rPr lang="en-AU" baseline="0"/>
                  <a:t> </a:t>
                </a:r>
                <a:endParaRPr lang="en-AU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#,##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02641424"/>
        <c:crosses val="autoZero"/>
        <c:crossBetween val="midCat"/>
        <c:majorUnit val="2.0000000000000004E-2"/>
      </c:valAx>
      <c:valAx>
        <c:axId val="802641424"/>
        <c:scaling>
          <c:orientation val="minMax"/>
          <c:min val="2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AU"/>
                  <a:t>Q</a:t>
                </a:r>
                <a:r>
                  <a:rPr lang="en-AU" baseline="0"/>
                  <a:t>uality score, </a:t>
                </a:r>
                <a:r>
                  <a:rPr lang="en-AU" i="1" baseline="0"/>
                  <a:t>Q</a:t>
                </a:r>
                <a:endParaRPr lang="en-AU" i="1"/>
              </a:p>
            </c:rich>
          </c:tx>
          <c:layout>
            <c:manualLayout>
              <c:xMode val="edge"/>
              <c:yMode val="edge"/>
              <c:x val="1.2630035540302917E-2"/>
              <c:y val="0.3506217297161231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#,##0.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78679920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7715254705504232"/>
          <c:y val="0.34878351652668288"/>
          <c:w val="0.21228217619277828"/>
          <c:h val="0.3436151953612574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6350" cap="flat" cmpd="sng" algn="ctr">
      <a:solidFill>
        <a:schemeClr val="tx1"/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AU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Quality score vs. </a:t>
            </a:r>
            <a:r>
              <a:rPr lang="en-AU" sz="1400" b="0" i="1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cs typeface="Times New Roman" panose="02020603050405020304" pitchFamily="18" charset="0"/>
              </a:rPr>
              <a:t>σ</a:t>
            </a:r>
            <a:r>
              <a:rPr lang="en-AU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cs typeface="Times New Roman" panose="02020603050405020304" pitchFamily="18" charset="0"/>
              </a:rPr>
              <a:t> : Dorado R9 'fast'</a:t>
            </a:r>
            <a:endParaRPr lang="en-AU" sz="1400" b="0" i="0" u="none" strike="noStrike" kern="1200" spc="0" baseline="0">
              <a:solidFill>
                <a:sysClr val="windowText" lastClr="000000">
                  <a:lumMod val="65000"/>
                  <a:lumOff val="35000"/>
                </a:sysClr>
              </a:solidFill>
            </a:endParaRPr>
          </a:p>
        </c:rich>
      </c:tx>
      <c:layout>
        <c:manualLayout>
          <c:xMode val="edge"/>
          <c:yMode val="edge"/>
          <c:x val="0.2371309731511505"/>
          <c:y val="3.2615699591851961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1368158226066076"/>
          <c:y val="0.15826550596557501"/>
          <c:w val="0.66061018822016926"/>
          <c:h val="0.65642128030386226"/>
        </c:manualLayout>
      </c:layout>
      <c:scatterChart>
        <c:scatterStyle val="lineMarker"/>
        <c:varyColors val="0"/>
        <c:ser>
          <c:idx val="1"/>
          <c:order val="0"/>
          <c:tx>
            <c:v>Codebook 1</c:v>
          </c:tx>
          <c:spPr>
            <a:ln w="19050" cap="rnd">
              <a:solidFill>
                <a:srgbClr val="FF0000"/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rgbClr val="FF0000"/>
              </a:solidFill>
              <a:ln w="9525">
                <a:solidFill>
                  <a:srgbClr val="FF0000"/>
                </a:solidFill>
              </a:ln>
              <a:effectLst/>
            </c:spPr>
          </c:marker>
          <c:errBars>
            <c:errDir val="x"/>
            <c:errBarType val="both"/>
            <c:errValType val="stdErr"/>
            <c:noEndCap val="0"/>
            <c:spPr>
              <a:noFill/>
              <a:ln w="9525" cap="flat" cmpd="sng" algn="ctr">
                <a:noFill/>
                <a:round/>
              </a:ln>
              <a:effectLst/>
            </c:spPr>
          </c:errBars>
          <c:errBars>
            <c:errDir val="y"/>
            <c:errBarType val="both"/>
            <c:errValType val="cust"/>
            <c:noEndCap val="0"/>
            <c:plus>
              <c:numRef>
                <c:f>'R9.S.Df.sd'!$O$3:$O$23</c:f>
                <c:numCache>
                  <c:formatCode>General</c:formatCode>
                  <c:ptCount val="21"/>
                  <c:pt idx="0">
                    <c:v>8.3509866354299689E-2</c:v>
                  </c:pt>
                  <c:pt idx="1">
                    <c:v>7.9995128988501918E-2</c:v>
                  </c:pt>
                  <c:pt idx="2">
                    <c:v>8.3610184627466388E-2</c:v>
                  </c:pt>
                  <c:pt idx="3">
                    <c:v>8.5604570710481553E-2</c:v>
                  </c:pt>
                  <c:pt idx="4">
                    <c:v>9.6082071859098228E-2</c:v>
                  </c:pt>
                  <c:pt idx="5">
                    <c:v>0.10883965779020155</c:v>
                  </c:pt>
                  <c:pt idx="6">
                    <c:v>0.11249371087409976</c:v>
                  </c:pt>
                  <c:pt idx="7">
                    <c:v>0.12369823002599034</c:v>
                  </c:pt>
                  <c:pt idx="8">
                    <c:v>0.12987562506923211</c:v>
                  </c:pt>
                  <c:pt idx="9">
                    <c:v>0.13466273573390719</c:v>
                  </c:pt>
                  <c:pt idx="10">
                    <c:v>0.13033876219484686</c:v>
                  </c:pt>
                  <c:pt idx="11">
                    <c:v>0.12599394117405716</c:v>
                  </c:pt>
                  <c:pt idx="12">
                    <c:v>0.11307198962540177</c:v>
                  </c:pt>
                  <c:pt idx="13">
                    <c:v>9.5922367959522248E-2</c:v>
                  </c:pt>
                  <c:pt idx="14">
                    <c:v>8.5879924579312039E-2</c:v>
                  </c:pt>
                  <c:pt idx="15">
                    <c:v>7.7459231944196461E-2</c:v>
                  </c:pt>
                  <c:pt idx="16">
                    <c:v>6.9497557258836551E-2</c:v>
                  </c:pt>
                  <c:pt idx="17">
                    <c:v>6.1789623573377916E-2</c:v>
                  </c:pt>
                  <c:pt idx="18">
                    <c:v>5.2584740824194842E-2</c:v>
                  </c:pt>
                  <c:pt idx="19">
                    <c:v>4.390251973168624E-2</c:v>
                  </c:pt>
                  <c:pt idx="20">
                    <c:v>3.7891720226462144E-2</c:v>
                  </c:pt>
                </c:numCache>
              </c:numRef>
            </c:plus>
            <c:minus>
              <c:numRef>
                <c:f>'R9.S.Df.sd'!$N$3:$N$23</c:f>
                <c:numCache>
                  <c:formatCode>General</c:formatCode>
                  <c:ptCount val="21"/>
                  <c:pt idx="0">
                    <c:v>8.1934315461410279E-2</c:v>
                  </c:pt>
                  <c:pt idx="1">
                    <c:v>7.8548264418607516E-2</c:v>
                  </c:pt>
                  <c:pt idx="2">
                    <c:v>8.2030881804534772E-2</c:v>
                  </c:pt>
                  <c:pt idx="3">
                    <c:v>8.3949769088695447E-2</c:v>
                  </c:pt>
                  <c:pt idx="4">
                    <c:v>9.400230861640857E-2</c:v>
                  </c:pt>
                  <c:pt idx="5">
                    <c:v>0.10617855385666708</c:v>
                  </c:pt>
                  <c:pt idx="6">
                    <c:v>0.10965324810145827</c:v>
                  </c:pt>
                  <c:pt idx="7">
                    <c:v>0.12027233950796301</c:v>
                  </c:pt>
                  <c:pt idx="8">
                    <c:v>0.12610420983840864</c:v>
                  </c:pt>
                  <c:pt idx="9">
                    <c:v>0.13061248813054238</c:v>
                  </c:pt>
                  <c:pt idx="10">
                    <c:v>0.12654079264305018</c:v>
                  </c:pt>
                  <c:pt idx="11">
                    <c:v>0.12244152625244453</c:v>
                  </c:pt>
                  <c:pt idx="12">
                    <c:v>0.1102026196401793</c:v>
                  </c:pt>
                  <c:pt idx="13">
                    <c:v>9.3849438459506551E-2</c:v>
                  </c:pt>
                  <c:pt idx="14">
                    <c:v>8.421456345533862E-2</c:v>
                  </c:pt>
                  <c:pt idx="15">
                    <c:v>7.6101870473697097E-2</c:v>
                  </c:pt>
                  <c:pt idx="16">
                    <c:v>6.8402923062693688E-2</c:v>
                  </c:pt>
                  <c:pt idx="17">
                    <c:v>6.0922824396003605E-2</c:v>
                  </c:pt>
                  <c:pt idx="18">
                    <c:v>5.1955649856001429E-2</c:v>
                  </c:pt>
                  <c:pt idx="19">
                    <c:v>4.3463150139615436E-2</c:v>
                  </c:pt>
                  <c:pt idx="20">
                    <c:v>3.7563976563786294E-2</c:v>
                  </c:pt>
                </c:numCache>
              </c:numRef>
            </c:minus>
            <c:spPr>
              <a:noFill/>
              <a:ln w="9525" cap="flat" cmpd="sng" algn="ctr">
                <a:solidFill>
                  <a:schemeClr val="tx1">
                    <a:lumMod val="65000"/>
                    <a:lumOff val="35000"/>
                  </a:schemeClr>
                </a:solidFill>
                <a:round/>
              </a:ln>
              <a:effectLst/>
            </c:spPr>
          </c:errBars>
          <c:xVal>
            <c:numRef>
              <c:f>'R9.S.Df.sd'!$D$3:$D$23</c:f>
              <c:numCache>
                <c:formatCode>#,##0.00</c:formatCode>
                <c:ptCount val="21"/>
                <c:pt idx="0">
                  <c:v>0</c:v>
                </c:pt>
                <c:pt idx="1">
                  <c:v>0.01</c:v>
                </c:pt>
                <c:pt idx="2">
                  <c:v>0.02</c:v>
                </c:pt>
                <c:pt idx="3">
                  <c:v>0.03</c:v>
                </c:pt>
                <c:pt idx="4">
                  <c:v>0.04</c:v>
                </c:pt>
                <c:pt idx="5">
                  <c:v>0.05</c:v>
                </c:pt>
                <c:pt idx="6">
                  <c:v>0.06</c:v>
                </c:pt>
                <c:pt idx="7">
                  <c:v>7.0000000000000007E-2</c:v>
                </c:pt>
                <c:pt idx="8">
                  <c:v>0.08</c:v>
                </c:pt>
                <c:pt idx="9">
                  <c:v>0.09</c:v>
                </c:pt>
                <c:pt idx="10">
                  <c:v>0.1</c:v>
                </c:pt>
                <c:pt idx="11">
                  <c:v>0.11</c:v>
                </c:pt>
                <c:pt idx="12">
                  <c:v>0.12</c:v>
                </c:pt>
                <c:pt idx="13">
                  <c:v>0.13</c:v>
                </c:pt>
                <c:pt idx="14">
                  <c:v>0.14000000000000001</c:v>
                </c:pt>
                <c:pt idx="15">
                  <c:v>0.15</c:v>
                </c:pt>
                <c:pt idx="16">
                  <c:v>0.16</c:v>
                </c:pt>
                <c:pt idx="17">
                  <c:v>0.17</c:v>
                </c:pt>
                <c:pt idx="18">
                  <c:v>0.18</c:v>
                </c:pt>
                <c:pt idx="19">
                  <c:v>0.19</c:v>
                </c:pt>
                <c:pt idx="20">
                  <c:v>0.2</c:v>
                </c:pt>
              </c:numCache>
            </c:numRef>
          </c:xVal>
          <c:yVal>
            <c:numRef>
              <c:f>'R9.S.Df.sd'!$K$3:$K$23</c:f>
              <c:numCache>
                <c:formatCode>#,##0.0000</c:formatCode>
                <c:ptCount val="21"/>
                <c:pt idx="0">
                  <c:v>5.2476477739587164</c:v>
                </c:pt>
                <c:pt idx="1">
                  <c:v>5.5021315301422664</c:v>
                </c:pt>
                <c:pt idx="2">
                  <c:v>5.5616354876421328</c:v>
                </c:pt>
                <c:pt idx="3">
                  <c:v>5.757174278944106</c:v>
                </c:pt>
                <c:pt idx="4">
                  <c:v>5.948529293078316</c:v>
                </c:pt>
                <c:pt idx="5">
                  <c:v>6.2229922542437643</c:v>
                </c:pt>
                <c:pt idx="6">
                  <c:v>6.4528346206455929</c:v>
                </c:pt>
                <c:pt idx="7">
                  <c:v>6.7630111244551818</c:v>
                </c:pt>
                <c:pt idx="8">
                  <c:v>6.8859936749718953</c:v>
                </c:pt>
                <c:pt idx="9">
                  <c:v>6.8616791814633178</c:v>
                </c:pt>
                <c:pt idx="10">
                  <c:v>6.7643853653713339</c:v>
                </c:pt>
                <c:pt idx="11">
                  <c:v>6.3701516026290461</c:v>
                </c:pt>
                <c:pt idx="12">
                  <c:v>5.8849252933443639</c:v>
                </c:pt>
                <c:pt idx="13">
                  <c:v>5.5749410088639317</c:v>
                </c:pt>
                <c:pt idx="14">
                  <c:v>5.1729311841250301</c:v>
                </c:pt>
                <c:pt idx="15">
                  <c:v>4.8034698385835783</c:v>
                </c:pt>
                <c:pt idx="16">
                  <c:v>4.5833756584496559</c:v>
                </c:pt>
                <c:pt idx="17">
                  <c:v>4.2354346759437984</c:v>
                </c:pt>
                <c:pt idx="18">
                  <c:v>3.905656796683675</c:v>
                </c:pt>
                <c:pt idx="19">
                  <c:v>3.5554499759657991</c:v>
                </c:pt>
                <c:pt idx="20">
                  <c:v>3.2893520417735194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49FF-462D-9A1C-B1D69DA25C3A}"/>
            </c:ext>
          </c:extLst>
        </c:ser>
        <c:ser>
          <c:idx val="0"/>
          <c:order val="1"/>
          <c:tx>
            <c:v>Codebook 2</c:v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errBars>
            <c:errDir val="x"/>
            <c:errBarType val="both"/>
            <c:errValType val="stdErr"/>
            <c:noEndCap val="0"/>
            <c:spPr>
              <a:noFill/>
              <a:ln w="9525" cap="flat" cmpd="sng" algn="ctr">
                <a:noFill/>
                <a:round/>
              </a:ln>
              <a:effectLst/>
            </c:spPr>
          </c:errBars>
          <c:errBars>
            <c:errDir val="y"/>
            <c:errBarType val="both"/>
            <c:errValType val="cust"/>
            <c:noEndCap val="0"/>
            <c:plus>
              <c:numRef>
                <c:f>'R9.S.Df.sd'!$O$25:$O$45</c:f>
                <c:numCache>
                  <c:formatCode>General</c:formatCode>
                  <c:ptCount val="21"/>
                  <c:pt idx="0">
                    <c:v>6.4644859294589629E-2</c:v>
                  </c:pt>
                  <c:pt idx="1">
                    <c:v>6.2386729242417616E-2</c:v>
                  </c:pt>
                  <c:pt idx="2">
                    <c:v>5.981347253214242E-2</c:v>
                  </c:pt>
                  <c:pt idx="3">
                    <c:v>6.0956053483838701E-2</c:v>
                  </c:pt>
                  <c:pt idx="4">
                    <c:v>5.9152097023696726E-2</c:v>
                  </c:pt>
                  <c:pt idx="5">
                    <c:v>5.7981305595799171E-2</c:v>
                  </c:pt>
                  <c:pt idx="6">
                    <c:v>5.3211825950871372E-2</c:v>
                  </c:pt>
                  <c:pt idx="7">
                    <c:v>5.2839617048450194E-2</c:v>
                  </c:pt>
                  <c:pt idx="8">
                    <c:v>4.9715851572869951E-2</c:v>
                  </c:pt>
                  <c:pt idx="9">
                    <c:v>5.3567229421705775E-2</c:v>
                  </c:pt>
                  <c:pt idx="10">
                    <c:v>7.074650276079808E-2</c:v>
                  </c:pt>
                  <c:pt idx="11">
                    <c:v>0.121611988062309</c:v>
                  </c:pt>
                  <c:pt idx="12">
                    <c:v>0.12211870947317838</c:v>
                  </c:pt>
                  <c:pt idx="13">
                    <c:v>8.0337859252492372E-2</c:v>
                  </c:pt>
                  <c:pt idx="14">
                    <c:v>4.3714517294261679E-2</c:v>
                  </c:pt>
                  <c:pt idx="15">
                    <c:v>1.9485150060137624E-2</c:v>
                  </c:pt>
                  <c:pt idx="16">
                    <c:v>8.7864422328478575E-3</c:v>
                  </c:pt>
                  <c:pt idx="17">
                    <c:v>7.8517912445792426E-3</c:v>
                  </c:pt>
                  <c:pt idx="18">
                    <c:v>7.5561414323814802E-3</c:v>
                  </c:pt>
                  <c:pt idx="19">
                    <c:v>7.138607694455068E-3</c:v>
                  </c:pt>
                  <c:pt idx="20">
                    <c:v>7.0856771081078129E-3</c:v>
                  </c:pt>
                </c:numCache>
              </c:numRef>
            </c:plus>
            <c:minus>
              <c:numRef>
                <c:f>'R9.S.Df.sd'!$N$25:$N$45</c:f>
                <c:numCache>
                  <c:formatCode>General</c:formatCode>
                  <c:ptCount val="21"/>
                  <c:pt idx="0">
                    <c:v>6.3696714605337768E-2</c:v>
                  </c:pt>
                  <c:pt idx="1">
                    <c:v>6.1503215937958267E-2</c:v>
                  </c:pt>
                  <c:pt idx="2">
                    <c:v>5.9000866823313736E-2</c:v>
                  </c:pt>
                  <c:pt idx="3">
                    <c:v>6.0112324279752549E-2</c:v>
                  </c:pt>
                  <c:pt idx="4">
                    <c:v>5.8357243276242698E-2</c:v>
                  </c:pt>
                  <c:pt idx="5">
                    <c:v>5.72174026510055E-2</c:v>
                  </c:pt>
                  <c:pt idx="6">
                    <c:v>5.2567733116992699E-2</c:v>
                  </c:pt>
                  <c:pt idx="7">
                    <c:v>5.2204449699013722E-2</c:v>
                  </c:pt>
                  <c:pt idx="8">
                    <c:v>4.9153164748821254E-2</c:v>
                  </c:pt>
                  <c:pt idx="9">
                    <c:v>5.2914556681573188E-2</c:v>
                  </c:pt>
                  <c:pt idx="10">
                    <c:v>6.9612491691757761E-2</c:v>
                  </c:pt>
                  <c:pt idx="11">
                    <c:v>0.11829914184583412</c:v>
                  </c:pt>
                  <c:pt idx="12">
                    <c:v>0.11877857585121276</c:v>
                  </c:pt>
                  <c:pt idx="13">
                    <c:v>7.8878682997273408E-2</c:v>
                  </c:pt>
                  <c:pt idx="14">
                    <c:v>4.3278884004727125E-2</c:v>
                  </c:pt>
                  <c:pt idx="15">
                    <c:v>1.9398117899903422E-2</c:v>
                  </c:pt>
                  <c:pt idx="16">
                    <c:v>8.7687018006610273E-3</c:v>
                  </c:pt>
                  <c:pt idx="17">
                    <c:v>7.8376212780182364E-3</c:v>
                  </c:pt>
                  <c:pt idx="18">
                    <c:v>7.5430175902715391E-3</c:v>
                  </c:pt>
                  <c:pt idx="19">
                    <c:v>7.1268930383778795E-3</c:v>
                  </c:pt>
                  <c:pt idx="20">
                    <c:v>7.0741353887511238E-3</c:v>
                  </c:pt>
                </c:numCache>
              </c:numRef>
            </c:minus>
            <c:spPr>
              <a:noFill/>
              <a:ln w="9525" cap="flat" cmpd="sng" algn="ctr">
                <a:solidFill>
                  <a:schemeClr val="tx1">
                    <a:lumMod val="65000"/>
                    <a:lumOff val="35000"/>
                  </a:schemeClr>
                </a:solidFill>
                <a:round/>
              </a:ln>
              <a:effectLst/>
            </c:spPr>
          </c:errBars>
          <c:xVal>
            <c:numRef>
              <c:f>'R9.S.Df.sd'!$D$25:$D$45</c:f>
              <c:numCache>
                <c:formatCode>#,##0.00</c:formatCode>
                <c:ptCount val="21"/>
                <c:pt idx="0">
                  <c:v>0</c:v>
                </c:pt>
                <c:pt idx="1">
                  <c:v>0.01</c:v>
                </c:pt>
                <c:pt idx="2">
                  <c:v>0.02</c:v>
                </c:pt>
                <c:pt idx="3">
                  <c:v>0.03</c:v>
                </c:pt>
                <c:pt idx="4">
                  <c:v>0.04</c:v>
                </c:pt>
                <c:pt idx="5">
                  <c:v>0.05</c:v>
                </c:pt>
                <c:pt idx="6">
                  <c:v>0.06</c:v>
                </c:pt>
                <c:pt idx="7">
                  <c:v>7.0000000000000007E-2</c:v>
                </c:pt>
                <c:pt idx="8">
                  <c:v>0.08</c:v>
                </c:pt>
                <c:pt idx="9">
                  <c:v>0.09</c:v>
                </c:pt>
                <c:pt idx="10">
                  <c:v>0.1</c:v>
                </c:pt>
                <c:pt idx="11">
                  <c:v>0.11</c:v>
                </c:pt>
                <c:pt idx="12">
                  <c:v>0.12</c:v>
                </c:pt>
                <c:pt idx="13">
                  <c:v>0.13</c:v>
                </c:pt>
                <c:pt idx="14">
                  <c:v>0.14000000000000001</c:v>
                </c:pt>
                <c:pt idx="15">
                  <c:v>0.15</c:v>
                </c:pt>
                <c:pt idx="16">
                  <c:v>0.16</c:v>
                </c:pt>
                <c:pt idx="17">
                  <c:v>0.17</c:v>
                </c:pt>
                <c:pt idx="18">
                  <c:v>0.18</c:v>
                </c:pt>
                <c:pt idx="19">
                  <c:v>0.19</c:v>
                </c:pt>
                <c:pt idx="20">
                  <c:v>0.2</c:v>
                </c:pt>
              </c:numCache>
            </c:numRef>
          </c:xVal>
          <c:yVal>
            <c:numRef>
              <c:f>'R9.S.Df.sd'!$K$25:$K$45</c:f>
              <c:numCache>
                <c:formatCode>#,##0.0000</c:formatCode>
                <c:ptCount val="21"/>
                <c:pt idx="0">
                  <c:v>7.5178143880992518</c:v>
                </c:pt>
                <c:pt idx="1">
                  <c:v>7.566311862696109</c:v>
                </c:pt>
                <c:pt idx="2">
                  <c:v>7.6704622056766354</c:v>
                </c:pt>
                <c:pt idx="3">
                  <c:v>7.7693692509746466</c:v>
                </c:pt>
                <c:pt idx="4">
                  <c:v>8.0262753742331228</c:v>
                </c:pt>
                <c:pt idx="5">
                  <c:v>8.2227116415826824</c:v>
                </c:pt>
                <c:pt idx="6">
                  <c:v>8.4229145234576315</c:v>
                </c:pt>
                <c:pt idx="7">
                  <c:v>8.5891621246039289</c:v>
                </c:pt>
                <c:pt idx="8">
                  <c:v>8.5771484383288499</c:v>
                </c:pt>
                <c:pt idx="9">
                  <c:v>8.4567748570649037</c:v>
                </c:pt>
                <c:pt idx="10">
                  <c:v>8.0299527197695433</c:v>
                </c:pt>
                <c:pt idx="11">
                  <c:v>7.1193717491239958</c:v>
                </c:pt>
                <c:pt idx="12">
                  <c:v>5.506244654464421</c:v>
                </c:pt>
                <c:pt idx="13">
                  <c:v>4.2094083137752207</c:v>
                </c:pt>
                <c:pt idx="14">
                  <c:v>3.5167252165939997</c:v>
                </c:pt>
                <c:pt idx="15">
                  <c:v>3.2045097816553603</c:v>
                </c:pt>
                <c:pt idx="16">
                  <c:v>3.0785839063321632</c:v>
                </c:pt>
                <c:pt idx="17">
                  <c:v>3.0266892680752782</c:v>
                </c:pt>
                <c:pt idx="18">
                  <c:v>3.0020561905837568</c:v>
                </c:pt>
                <c:pt idx="19">
                  <c:v>2.9882072267596653</c:v>
                </c:pt>
                <c:pt idx="20">
                  <c:v>2.9722492209895601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49FF-462D-9A1C-B1D69DA25C3A}"/>
            </c:ext>
          </c:extLst>
        </c:ser>
        <c:ser>
          <c:idx val="2"/>
          <c:order val="2"/>
          <c:tx>
            <c:v>Codebook 3</c:v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errBars>
            <c:errDir val="x"/>
            <c:errBarType val="both"/>
            <c:errValType val="stdErr"/>
            <c:noEndCap val="0"/>
            <c:spPr>
              <a:noFill/>
              <a:ln w="9525" cap="flat" cmpd="sng" algn="ctr">
                <a:noFill/>
                <a:round/>
              </a:ln>
              <a:effectLst/>
            </c:spPr>
          </c:errBars>
          <c:errBars>
            <c:errDir val="y"/>
            <c:errBarType val="both"/>
            <c:errValType val="cust"/>
            <c:noEndCap val="0"/>
            <c:plus>
              <c:numRef>
                <c:f>'R9.S.Df.sd'!$O$47:$O$67</c:f>
                <c:numCache>
                  <c:formatCode>General</c:formatCode>
                  <c:ptCount val="21"/>
                  <c:pt idx="0">
                    <c:v>5.1602966596982824E-2</c:v>
                  </c:pt>
                  <c:pt idx="1">
                    <c:v>5.0948446069343234E-2</c:v>
                  </c:pt>
                  <c:pt idx="2">
                    <c:v>5.1378476817506069E-2</c:v>
                  </c:pt>
                  <c:pt idx="3">
                    <c:v>5.2307333497459751E-2</c:v>
                  </c:pt>
                  <c:pt idx="4">
                    <c:v>5.2374960180280539E-2</c:v>
                  </c:pt>
                  <c:pt idx="5">
                    <c:v>5.3541133852386125E-2</c:v>
                  </c:pt>
                  <c:pt idx="6">
                    <c:v>5.337067031224052E-2</c:v>
                  </c:pt>
                  <c:pt idx="7">
                    <c:v>5.5225197713260066E-2</c:v>
                  </c:pt>
                  <c:pt idx="8">
                    <c:v>4.9635984420714152E-2</c:v>
                  </c:pt>
                  <c:pt idx="9">
                    <c:v>5.1230311646638604E-2</c:v>
                  </c:pt>
                  <c:pt idx="10">
                    <c:v>4.7066571266463519E-2</c:v>
                  </c:pt>
                  <c:pt idx="11">
                    <c:v>4.1558739975397607E-2</c:v>
                  </c:pt>
                  <c:pt idx="12">
                    <c:v>3.9900502031704477E-2</c:v>
                  </c:pt>
                  <c:pt idx="13">
                    <c:v>4.0809804423320273E-2</c:v>
                  </c:pt>
                  <c:pt idx="14">
                    <c:v>4.9088481684218976E-2</c:v>
                  </c:pt>
                  <c:pt idx="15">
                    <c:v>5.9163362677665532E-2</c:v>
                  </c:pt>
                  <c:pt idx="16">
                    <c:v>6.0433688191332102E-2</c:v>
                  </c:pt>
                  <c:pt idx="17">
                    <c:v>4.5209334445877047E-2</c:v>
                  </c:pt>
                  <c:pt idx="18">
                    <c:v>2.8983416514667404E-2</c:v>
                  </c:pt>
                  <c:pt idx="19">
                    <c:v>1.4035727092509998E-2</c:v>
                  </c:pt>
                  <c:pt idx="20">
                    <c:v>9.4233519816206979E-3</c:v>
                  </c:pt>
                </c:numCache>
              </c:numRef>
            </c:plus>
            <c:minus>
              <c:numRef>
                <c:f>'R9.S.Df.sd'!$N$47:$N$67</c:f>
                <c:numCache>
                  <c:formatCode>General</c:formatCode>
                  <c:ptCount val="21"/>
                  <c:pt idx="0">
                    <c:v>5.0997011925566049E-2</c:v>
                  </c:pt>
                  <c:pt idx="1">
                    <c:v>5.035767768156596E-2</c:v>
                  </c:pt>
                  <c:pt idx="2">
                    <c:v>5.077775225212644E-2</c:v>
                  </c:pt>
                  <c:pt idx="3">
                    <c:v>5.168482326703483E-2</c:v>
                  </c:pt>
                  <c:pt idx="4">
                    <c:v>5.1750848841255248E-2</c:v>
                  </c:pt>
                  <c:pt idx="5">
                    <c:v>5.2889093001128096E-2</c:v>
                  </c:pt>
                  <c:pt idx="6">
                    <c:v>5.2722749697986515E-2</c:v>
                  </c:pt>
                  <c:pt idx="7">
                    <c:v>5.4531758732621505E-2</c:v>
                  </c:pt>
                  <c:pt idx="8">
                    <c:v>4.9075093847329221E-2</c:v>
                  </c:pt>
                  <c:pt idx="9">
                    <c:v>5.0633026722410435E-2</c:v>
                  </c:pt>
                  <c:pt idx="10">
                    <c:v>4.6561952222565317E-2</c:v>
                  </c:pt>
                  <c:pt idx="11">
                    <c:v>4.1164820395679591E-2</c:v>
                  </c:pt>
                  <c:pt idx="12">
                    <c:v>3.953725374402417E-2</c:v>
                  </c:pt>
                  <c:pt idx="13">
                    <c:v>4.0429889873373703E-2</c:v>
                  </c:pt>
                  <c:pt idx="14">
                    <c:v>4.8539828257957218E-2</c:v>
                  </c:pt>
                  <c:pt idx="15">
                    <c:v>5.8368208168329438E-2</c:v>
                  </c:pt>
                  <c:pt idx="16">
                    <c:v>5.9604259608195598E-2</c:v>
                  </c:pt>
                  <c:pt idx="17">
                    <c:v>4.4743557281190949E-2</c:v>
                  </c:pt>
                  <c:pt idx="18">
                    <c:v>2.8791272118830147E-2</c:v>
                  </c:pt>
                  <c:pt idx="19">
                    <c:v>1.3990511879061529E-2</c:v>
                  </c:pt>
                  <c:pt idx="20">
                    <c:v>9.402949388419124E-3</c:v>
                  </c:pt>
                </c:numCache>
              </c:numRef>
            </c:minus>
            <c:spPr>
              <a:noFill/>
              <a:ln w="9525" cap="flat" cmpd="sng" algn="ctr">
                <a:solidFill>
                  <a:schemeClr val="tx1">
                    <a:lumMod val="65000"/>
                    <a:lumOff val="35000"/>
                  </a:schemeClr>
                </a:solidFill>
                <a:round/>
              </a:ln>
              <a:effectLst/>
            </c:spPr>
          </c:errBars>
          <c:xVal>
            <c:numRef>
              <c:f>'R9.S.Df.sd'!$D$47:$D$67</c:f>
              <c:numCache>
                <c:formatCode>#,##0.00</c:formatCode>
                <c:ptCount val="21"/>
                <c:pt idx="0">
                  <c:v>0</c:v>
                </c:pt>
                <c:pt idx="1">
                  <c:v>0.01</c:v>
                </c:pt>
                <c:pt idx="2">
                  <c:v>0.02</c:v>
                </c:pt>
                <c:pt idx="3">
                  <c:v>0.03</c:v>
                </c:pt>
                <c:pt idx="4">
                  <c:v>0.04</c:v>
                </c:pt>
                <c:pt idx="5">
                  <c:v>0.05</c:v>
                </c:pt>
                <c:pt idx="6">
                  <c:v>0.06</c:v>
                </c:pt>
                <c:pt idx="7">
                  <c:v>7.0000000000000007E-2</c:v>
                </c:pt>
                <c:pt idx="8">
                  <c:v>0.08</c:v>
                </c:pt>
                <c:pt idx="9">
                  <c:v>0.09</c:v>
                </c:pt>
                <c:pt idx="10">
                  <c:v>0.1</c:v>
                </c:pt>
                <c:pt idx="11">
                  <c:v>0.11</c:v>
                </c:pt>
                <c:pt idx="12">
                  <c:v>0.12</c:v>
                </c:pt>
                <c:pt idx="13">
                  <c:v>0.13</c:v>
                </c:pt>
                <c:pt idx="14">
                  <c:v>0.14000000000000001</c:v>
                </c:pt>
                <c:pt idx="15">
                  <c:v>0.15</c:v>
                </c:pt>
                <c:pt idx="16">
                  <c:v>0.16</c:v>
                </c:pt>
                <c:pt idx="17">
                  <c:v>0.17</c:v>
                </c:pt>
                <c:pt idx="18">
                  <c:v>0.18</c:v>
                </c:pt>
                <c:pt idx="19">
                  <c:v>0.19</c:v>
                </c:pt>
                <c:pt idx="20">
                  <c:v>0.2</c:v>
                </c:pt>
              </c:numCache>
            </c:numRef>
          </c:xVal>
          <c:yVal>
            <c:numRef>
              <c:f>'R9.S.Df.sd'!$K$47:$K$67</c:f>
              <c:numCache>
                <c:formatCode>#,##0.0000</c:formatCode>
                <c:ptCount val="21"/>
                <c:pt idx="0">
                  <c:v>6.6200859652984985</c:v>
                </c:pt>
                <c:pt idx="1">
                  <c:v>6.6087995472787942</c:v>
                </c:pt>
                <c:pt idx="2">
                  <c:v>6.7107701897157419</c:v>
                </c:pt>
                <c:pt idx="3">
                  <c:v>6.7791859841913737</c:v>
                </c:pt>
                <c:pt idx="4">
                  <c:v>6.9429044951707066</c:v>
                </c:pt>
                <c:pt idx="5">
                  <c:v>7.2117021371553047</c:v>
                </c:pt>
                <c:pt idx="6">
                  <c:v>7.3608790095148748</c:v>
                </c:pt>
                <c:pt idx="7">
                  <c:v>7.5870261289000682</c:v>
                </c:pt>
                <c:pt idx="8">
                  <c:v>7.7637428330620404</c:v>
                </c:pt>
                <c:pt idx="9">
                  <c:v>7.8207759589836829</c:v>
                </c:pt>
                <c:pt idx="10">
                  <c:v>7.9084257665246129</c:v>
                </c:pt>
                <c:pt idx="11">
                  <c:v>7.7633103334531555</c:v>
                </c:pt>
                <c:pt idx="12">
                  <c:v>7.5202673363819326</c:v>
                </c:pt>
                <c:pt idx="13">
                  <c:v>7.0641648650388325</c:v>
                </c:pt>
                <c:pt idx="14">
                  <c:v>6.2653627836763093</c:v>
                </c:pt>
                <c:pt idx="15">
                  <c:v>5.2636707312615885</c:v>
                </c:pt>
                <c:pt idx="16">
                  <c:v>4.19398110622123</c:v>
                </c:pt>
                <c:pt idx="17">
                  <c:v>3.4844740741107221</c:v>
                </c:pt>
                <c:pt idx="18">
                  <c:v>3.0611190556166297</c:v>
                </c:pt>
                <c:pt idx="19">
                  <c:v>2.835236444215679</c:v>
                </c:pt>
                <c:pt idx="20">
                  <c:v>2.7496000770030928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49FF-462D-9A1C-B1D69DA25C3A}"/>
            </c:ext>
          </c:extLst>
        </c:ser>
        <c:ser>
          <c:idx val="3"/>
          <c:order val="3"/>
          <c:tx>
            <c:v>Codebook 4</c:v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errBars>
            <c:errDir val="x"/>
            <c:errBarType val="both"/>
            <c:errValType val="stdErr"/>
            <c:noEndCap val="0"/>
            <c:spPr>
              <a:noFill/>
              <a:ln w="9525" cap="flat" cmpd="sng" algn="ctr">
                <a:noFill/>
                <a:round/>
              </a:ln>
              <a:effectLst/>
            </c:spPr>
          </c:errBars>
          <c:errBars>
            <c:errDir val="y"/>
            <c:errBarType val="both"/>
            <c:errValType val="cust"/>
            <c:noEndCap val="0"/>
            <c:plus>
              <c:numRef>
                <c:f>'R9.S.Df.sd'!$O$69:$O$89</c:f>
                <c:numCache>
                  <c:formatCode>General</c:formatCode>
                  <c:ptCount val="21"/>
                  <c:pt idx="0">
                    <c:v>7.0559751586248609E-2</c:v>
                  </c:pt>
                  <c:pt idx="1">
                    <c:v>6.3930992089339611E-2</c:v>
                  </c:pt>
                  <c:pt idx="2">
                    <c:v>7.2311887844192846E-2</c:v>
                  </c:pt>
                  <c:pt idx="3">
                    <c:v>7.6815104657590894E-2</c:v>
                  </c:pt>
                  <c:pt idx="4">
                    <c:v>7.6926037345805831E-2</c:v>
                  </c:pt>
                  <c:pt idx="5">
                    <c:v>9.1025868463891157E-2</c:v>
                  </c:pt>
                  <c:pt idx="6">
                    <c:v>9.729239941982204E-2</c:v>
                  </c:pt>
                  <c:pt idx="7">
                    <c:v>9.6402934707304766E-2</c:v>
                  </c:pt>
                  <c:pt idx="8">
                    <c:v>9.7473923758469638E-2</c:v>
                  </c:pt>
                  <c:pt idx="9">
                    <c:v>0.11211060308081855</c:v>
                  </c:pt>
                  <c:pt idx="10">
                    <c:v>0.12674037156905982</c:v>
                  </c:pt>
                  <c:pt idx="11">
                    <c:v>0.12109815264226675</c:v>
                  </c:pt>
                  <c:pt idx="12">
                    <c:v>0.11302155479477882</c:v>
                  </c:pt>
                  <c:pt idx="13">
                    <c:v>0.10701874812071743</c:v>
                  </c:pt>
                  <c:pt idx="14">
                    <c:v>0.11843546964943563</c:v>
                  </c:pt>
                  <c:pt idx="15">
                    <c:v>9.1193501696556822E-2</c:v>
                  </c:pt>
                  <c:pt idx="16">
                    <c:v>9.0954238453777592E-2</c:v>
                  </c:pt>
                  <c:pt idx="17">
                    <c:v>8.1511259076540554E-2</c:v>
                  </c:pt>
                  <c:pt idx="18">
                    <c:v>6.4652328711137574E-2</c:v>
                  </c:pt>
                  <c:pt idx="19">
                    <c:v>4.6389130654290511E-2</c:v>
                  </c:pt>
                  <c:pt idx="20">
                    <c:v>3.7298787196156091E-2</c:v>
                  </c:pt>
                </c:numCache>
              </c:numRef>
            </c:plus>
            <c:minus>
              <c:numRef>
                <c:f>'R9.S.Df.sd'!$N$69:$N$89</c:f>
                <c:numCache>
                  <c:formatCode>General</c:formatCode>
                  <c:ptCount val="21"/>
                  <c:pt idx="0">
                    <c:v>6.9431671959830688E-2</c:v>
                  </c:pt>
                  <c:pt idx="1">
                    <c:v>6.3003522470047812E-2</c:v>
                  </c:pt>
                  <c:pt idx="2">
                    <c:v>7.1127556704878359E-2</c:v>
                  </c:pt>
                  <c:pt idx="3">
                    <c:v>7.5480030143438626E-2</c:v>
                  </c:pt>
                  <c:pt idx="4">
                    <c:v>7.5587137455825903E-2</c:v>
                  </c:pt>
                  <c:pt idx="5">
                    <c:v>8.9157114627438361E-2</c:v>
                  </c:pt>
                  <c:pt idx="6">
                    <c:v>9.5160488612356708E-2</c:v>
                  </c:pt>
                  <c:pt idx="7">
                    <c:v>9.430940846202418E-2</c:v>
                  </c:pt>
                  <c:pt idx="8">
                    <c:v>9.5334137424048393E-2</c:v>
                  </c:pt>
                  <c:pt idx="9">
                    <c:v>0.10928921267634806</c:v>
                  </c:pt>
                  <c:pt idx="10">
                    <c:v>0.12314633811822162</c:v>
                  </c:pt>
                  <c:pt idx="11">
                    <c:v>0.1178128657394435</c:v>
                  </c:pt>
                  <c:pt idx="12">
                    <c:v>0.11015471164216351</c:v>
                  </c:pt>
                  <c:pt idx="13">
                    <c:v>0.104444892336506</c:v>
                  </c:pt>
                  <c:pt idx="14">
                    <c:v>0.11529119963581813</c:v>
                  </c:pt>
                  <c:pt idx="15">
                    <c:v>8.931792919950432E-2</c:v>
                  </c:pt>
                  <c:pt idx="16">
                    <c:v>8.9088394535525417E-2</c:v>
                  </c:pt>
                  <c:pt idx="17">
                    <c:v>8.0009543801407901E-2</c:v>
                  </c:pt>
                  <c:pt idx="18">
                    <c:v>6.3703966504993215E-2</c:v>
                  </c:pt>
                  <c:pt idx="19">
                    <c:v>4.5898857756887068E-2</c:v>
                  </c:pt>
                  <c:pt idx="20">
                    <c:v>3.6981177479068261E-2</c:v>
                  </c:pt>
                </c:numCache>
              </c:numRef>
            </c:minus>
            <c:spPr>
              <a:noFill/>
              <a:ln w="9525" cap="flat" cmpd="sng" algn="ctr">
                <a:solidFill>
                  <a:schemeClr val="tx1">
                    <a:lumMod val="65000"/>
                    <a:lumOff val="35000"/>
                  </a:schemeClr>
                </a:solidFill>
                <a:round/>
              </a:ln>
              <a:effectLst/>
            </c:spPr>
          </c:errBars>
          <c:xVal>
            <c:numRef>
              <c:f>'R9.S.Df.sd'!$D$69:$D$89</c:f>
              <c:numCache>
                <c:formatCode>#,##0.00</c:formatCode>
                <c:ptCount val="21"/>
                <c:pt idx="0">
                  <c:v>0</c:v>
                </c:pt>
                <c:pt idx="1">
                  <c:v>0.01</c:v>
                </c:pt>
                <c:pt idx="2">
                  <c:v>0.02</c:v>
                </c:pt>
                <c:pt idx="3">
                  <c:v>0.03</c:v>
                </c:pt>
                <c:pt idx="4">
                  <c:v>0.04</c:v>
                </c:pt>
                <c:pt idx="5">
                  <c:v>0.05</c:v>
                </c:pt>
                <c:pt idx="6">
                  <c:v>0.06</c:v>
                </c:pt>
                <c:pt idx="7">
                  <c:v>7.0000000000000007E-2</c:v>
                </c:pt>
                <c:pt idx="8">
                  <c:v>0.08</c:v>
                </c:pt>
                <c:pt idx="9">
                  <c:v>0.09</c:v>
                </c:pt>
                <c:pt idx="10">
                  <c:v>0.1</c:v>
                </c:pt>
                <c:pt idx="11">
                  <c:v>0.11</c:v>
                </c:pt>
                <c:pt idx="12">
                  <c:v>0.12</c:v>
                </c:pt>
                <c:pt idx="13">
                  <c:v>0.13</c:v>
                </c:pt>
                <c:pt idx="14">
                  <c:v>0.14000000000000001</c:v>
                </c:pt>
                <c:pt idx="15">
                  <c:v>0.15</c:v>
                </c:pt>
                <c:pt idx="16">
                  <c:v>0.16</c:v>
                </c:pt>
                <c:pt idx="17">
                  <c:v>0.17</c:v>
                </c:pt>
                <c:pt idx="18">
                  <c:v>0.18</c:v>
                </c:pt>
                <c:pt idx="19">
                  <c:v>0.19</c:v>
                </c:pt>
                <c:pt idx="20">
                  <c:v>0.2</c:v>
                </c:pt>
              </c:numCache>
            </c:numRef>
          </c:xVal>
          <c:yVal>
            <c:numRef>
              <c:f>'R9.S.Df.sd'!$K$69:$K$89</c:f>
              <c:numCache>
                <c:formatCode>#,##0.0000</c:formatCode>
                <c:ptCount val="21"/>
                <c:pt idx="0">
                  <c:v>6.033067567281881</c:v>
                </c:pt>
                <c:pt idx="1">
                  <c:v>6.1660357725791615</c:v>
                </c:pt>
                <c:pt idx="2">
                  <c:v>6.3072228168498761</c:v>
                </c:pt>
                <c:pt idx="3">
                  <c:v>6.5882936391966656</c:v>
                </c:pt>
                <c:pt idx="4">
                  <c:v>6.9429044951707066</c:v>
                </c:pt>
                <c:pt idx="5">
                  <c:v>7.2881691441135992</c:v>
                </c:pt>
                <c:pt idx="6">
                  <c:v>7.7023285973804452</c:v>
                </c:pt>
                <c:pt idx="7">
                  <c:v>8.2020891493823918</c:v>
                </c:pt>
                <c:pt idx="8">
                  <c:v>8.5996358902471801</c:v>
                </c:pt>
                <c:pt idx="9">
                  <c:v>8.6971985141763728</c:v>
                </c:pt>
                <c:pt idx="10">
                  <c:v>8.5688106487383102</c:v>
                </c:pt>
                <c:pt idx="11">
                  <c:v>8.5268444969210577</c:v>
                </c:pt>
                <c:pt idx="12">
                  <c:v>8.338166584128615</c:v>
                </c:pt>
                <c:pt idx="13">
                  <c:v>8.0414645348622891</c:v>
                </c:pt>
                <c:pt idx="14">
                  <c:v>7.3917362805095177</c:v>
                </c:pt>
                <c:pt idx="15">
                  <c:v>6.5185745969037754</c:v>
                </c:pt>
                <c:pt idx="16">
                  <c:v>5.4348214219473734</c:v>
                </c:pt>
                <c:pt idx="17">
                  <c:v>4.3782613663535166</c:v>
                </c:pt>
                <c:pt idx="18">
                  <c:v>3.5071383173938098</c:v>
                </c:pt>
                <c:pt idx="19">
                  <c:v>3.1202537996544439</c:v>
                </c:pt>
                <c:pt idx="20">
                  <c:v>2.8396881786758525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49FF-462D-9A1C-B1D69DA25C3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78679920"/>
        <c:axId val="802641424"/>
      </c:scatterChart>
      <c:valAx>
        <c:axId val="578679920"/>
        <c:scaling>
          <c:orientation val="minMax"/>
          <c:max val="0.2"/>
          <c:min val="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AU"/>
                  <a:t>Normalised</a:t>
                </a:r>
                <a:r>
                  <a:rPr lang="en-AU" baseline="0"/>
                  <a:t> noise, </a:t>
                </a:r>
                <a:r>
                  <a:rPr lang="en-AU" sz="1000" b="0" i="1" u="none" strike="noStrike" kern="1200" spc="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  <a:cs typeface="Times New Roman" panose="02020603050405020304" pitchFamily="18" charset="0"/>
                  </a:rPr>
                  <a:t>σ</a:t>
                </a:r>
                <a:r>
                  <a:rPr lang="en-AU" baseline="0"/>
                  <a:t> </a:t>
                </a:r>
                <a:endParaRPr lang="en-AU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#,##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02641424"/>
        <c:crosses val="autoZero"/>
        <c:crossBetween val="midCat"/>
        <c:majorUnit val="2.0000000000000004E-2"/>
      </c:valAx>
      <c:valAx>
        <c:axId val="802641424"/>
        <c:scaling>
          <c:orientation val="minMax"/>
          <c:min val="2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AU"/>
                  <a:t>Q</a:t>
                </a:r>
                <a:r>
                  <a:rPr lang="en-AU" baseline="0"/>
                  <a:t>uality score, </a:t>
                </a:r>
                <a:r>
                  <a:rPr lang="en-AU" i="1" baseline="0"/>
                  <a:t>Q</a:t>
                </a:r>
                <a:endParaRPr lang="en-AU" i="1"/>
              </a:p>
            </c:rich>
          </c:tx>
          <c:layout>
            <c:manualLayout>
              <c:xMode val="edge"/>
              <c:yMode val="edge"/>
              <c:x val="1.2630035540302917E-2"/>
              <c:y val="0.3506217297161231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#,##0.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78679920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7715254705504232"/>
          <c:y val="0.34878351652668288"/>
          <c:w val="0.21228217619277828"/>
          <c:h val="0.3436151953612574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6350" cap="flat" cmpd="sng" algn="ctr">
      <a:solidFill>
        <a:schemeClr val="tx1"/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AU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Quality score vs. </a:t>
            </a:r>
            <a:r>
              <a:rPr lang="en-AU" sz="1400" b="0" i="1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cs typeface="Times New Roman" panose="02020603050405020304" pitchFamily="18" charset="0"/>
              </a:rPr>
              <a:t>K</a:t>
            </a:r>
            <a:r>
              <a:rPr lang="en-AU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cs typeface="Times New Roman" panose="02020603050405020304" pitchFamily="18" charset="0"/>
              </a:rPr>
              <a:t> : Dorado R9 'fast'</a:t>
            </a:r>
            <a:endParaRPr lang="en-AU" sz="1400" b="0" i="0" u="none" strike="noStrike" kern="1200" spc="0" baseline="0">
              <a:solidFill>
                <a:sysClr val="windowText" lastClr="000000">
                  <a:lumMod val="65000"/>
                  <a:lumOff val="35000"/>
                </a:sysClr>
              </a:solidFill>
            </a:endParaRPr>
          </a:p>
        </c:rich>
      </c:tx>
      <c:layout>
        <c:manualLayout>
          <c:xMode val="edge"/>
          <c:yMode val="edge"/>
          <c:x val="0.23448124938497378"/>
          <c:y val="3.2615808749468518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1368158226066076"/>
          <c:y val="0.15826550596557501"/>
          <c:w val="0.66061018822016926"/>
          <c:h val="0.65642128030386226"/>
        </c:manualLayout>
      </c:layout>
      <c:scatterChart>
        <c:scatterStyle val="lineMarker"/>
        <c:varyColors val="0"/>
        <c:ser>
          <c:idx val="1"/>
          <c:order val="0"/>
          <c:tx>
            <c:v>Codebook 1</c:v>
          </c:tx>
          <c:spPr>
            <a:ln w="19050" cap="rnd">
              <a:solidFill>
                <a:srgbClr val="FF0000"/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rgbClr val="FF0000"/>
              </a:solidFill>
              <a:ln w="9525">
                <a:solidFill>
                  <a:srgbClr val="FF0000"/>
                </a:solidFill>
              </a:ln>
              <a:effectLst/>
            </c:spPr>
          </c:marker>
          <c:errBars>
            <c:errDir val="x"/>
            <c:errBarType val="both"/>
            <c:errValType val="stdErr"/>
            <c:noEndCap val="0"/>
            <c:spPr>
              <a:noFill/>
              <a:ln w="9525" cap="flat" cmpd="sng" algn="ctr">
                <a:noFill/>
                <a:round/>
              </a:ln>
              <a:effectLst/>
            </c:spPr>
          </c:errBars>
          <c:errBars>
            <c:errDir val="y"/>
            <c:errBarType val="both"/>
            <c:errValType val="cust"/>
            <c:noEndCap val="0"/>
            <c:plus>
              <c:numRef>
                <c:f>'R9.S.Df.K'!$O$3:$O$18</c:f>
                <c:numCache>
                  <c:formatCode>General</c:formatCode>
                  <c:ptCount val="16"/>
                  <c:pt idx="0">
                    <c:v>6.1980774063538746E-2</c:v>
                  </c:pt>
                  <c:pt idx="1">
                    <c:v>7.8128310485352515E-2</c:v>
                  </c:pt>
                  <c:pt idx="2">
                    <c:v>9.5043605503829731E-2</c:v>
                  </c:pt>
                  <c:pt idx="3">
                    <c:v>0.10491818868647762</c:v>
                  </c:pt>
                  <c:pt idx="4">
                    <c:v>0.12168896821057285</c:v>
                  </c:pt>
                  <c:pt idx="5">
                    <c:v>0.13101135424565502</c:v>
                  </c:pt>
                  <c:pt idx="6">
                    <c:v>0.1434775342851804</c:v>
                  </c:pt>
                  <c:pt idx="7">
                    <c:v>0.14351136658711194</c:v>
                  </c:pt>
                  <c:pt idx="8">
                    <c:v>0.1536137880888031</c:v>
                  </c:pt>
                  <c:pt idx="9">
                    <c:v>0.15641596397440249</c:v>
                  </c:pt>
                  <c:pt idx="10">
                    <c:v>0.1662283305064971</c:v>
                  </c:pt>
                  <c:pt idx="11">
                    <c:v>0.17063446169208607</c:v>
                  </c:pt>
                  <c:pt idx="12">
                    <c:v>0.17070421112023304</c:v>
                  </c:pt>
                  <c:pt idx="13">
                    <c:v>0.18034509189795145</c:v>
                  </c:pt>
                  <c:pt idx="14">
                    <c:v>0.17743623947384801</c:v>
                  </c:pt>
                  <c:pt idx="15">
                    <c:v>0.17746656934520821</c:v>
                  </c:pt>
                </c:numCache>
              </c:numRef>
            </c:plus>
            <c:minus>
              <c:numRef>
                <c:f>'R9.S.Df.K'!$N$3:$N$18</c:f>
                <c:numCache>
                  <c:formatCode>General</c:formatCode>
                  <c:ptCount val="16"/>
                  <c:pt idx="0">
                    <c:v>6.1108641344098658E-2</c:v>
                  </c:pt>
                  <c:pt idx="1">
                    <c:v>7.6747606847206384E-2</c:v>
                  </c:pt>
                  <c:pt idx="2">
                    <c:v>9.3008081446241064E-2</c:v>
                  </c:pt>
                  <c:pt idx="3">
                    <c:v>0.10244321661189204</c:v>
                  </c:pt>
                  <c:pt idx="4">
                    <c:v>0.11837198355693612</c:v>
                  </c:pt>
                  <c:pt idx="5">
                    <c:v>0.12717466009462886</c:v>
                  </c:pt>
                  <c:pt idx="6">
                    <c:v>0.13888867577434549</c:v>
                  </c:pt>
                  <c:pt idx="7">
                    <c:v>0.13892037813849711</c:v>
                  </c:pt>
                  <c:pt idx="8">
                    <c:v>0.14836544307426536</c:v>
                  </c:pt>
                  <c:pt idx="9">
                    <c:v>0.15097776529351137</c:v>
                  </c:pt>
                  <c:pt idx="10">
                    <c:v>0.16009971527010158</c:v>
                  </c:pt>
                  <c:pt idx="11">
                    <c:v>0.16418291059228363</c:v>
                  </c:pt>
                  <c:pt idx="12">
                    <c:v>0.16424748377578613</c:v>
                  </c:pt>
                  <c:pt idx="13">
                    <c:v>0.17315371979633909</c:v>
                  </c:pt>
                  <c:pt idx="14">
                    <c:v>0.17047052989488787</c:v>
                  </c:pt>
                  <c:pt idx="15">
                    <c:v>0.17049852466948856</c:v>
                  </c:pt>
                </c:numCache>
              </c:numRef>
            </c:minus>
            <c:spPr>
              <a:noFill/>
              <a:ln w="9525" cap="flat" cmpd="sng" algn="ctr">
                <a:solidFill>
                  <a:schemeClr val="tx1">
                    <a:lumMod val="65000"/>
                    <a:lumOff val="35000"/>
                  </a:schemeClr>
                </a:solidFill>
                <a:round/>
              </a:ln>
              <a:effectLst/>
            </c:spPr>
          </c:errBars>
          <c:xVal>
            <c:numRef>
              <c:f>'R9.S.Df.K'!$E$3:$E$18</c:f>
              <c:numCache>
                <c:formatCode>#,##0</c:formatCode>
                <c:ptCount val="16"/>
                <c:pt idx="0">
                  <c:v>5</c:v>
                </c:pt>
                <c:pt idx="1">
                  <c:v>6</c:v>
                </c:pt>
                <c:pt idx="2">
                  <c:v>7</c:v>
                </c:pt>
                <c:pt idx="3">
                  <c:v>8</c:v>
                </c:pt>
                <c:pt idx="4">
                  <c:v>9</c:v>
                </c:pt>
                <c:pt idx="5">
                  <c:v>10</c:v>
                </c:pt>
                <c:pt idx="6">
                  <c:v>11</c:v>
                </c:pt>
                <c:pt idx="7">
                  <c:v>12</c:v>
                </c:pt>
                <c:pt idx="8">
                  <c:v>13</c:v>
                </c:pt>
                <c:pt idx="9">
                  <c:v>14</c:v>
                </c:pt>
                <c:pt idx="10">
                  <c:v>15</c:v>
                </c:pt>
                <c:pt idx="11">
                  <c:v>16</c:v>
                </c:pt>
                <c:pt idx="12">
                  <c:v>17</c:v>
                </c:pt>
                <c:pt idx="13">
                  <c:v>18</c:v>
                </c:pt>
                <c:pt idx="14">
                  <c:v>19</c:v>
                </c:pt>
                <c:pt idx="15">
                  <c:v>20</c:v>
                </c:pt>
              </c:numCache>
            </c:numRef>
          </c:xVal>
          <c:yVal>
            <c:numRef>
              <c:f>'R9.S.Df.K'!$K$3:$K$18</c:f>
              <c:numCache>
                <c:formatCode>#,##0.0000</c:formatCode>
                <c:ptCount val="16"/>
                <c:pt idx="0">
                  <c:v>4.2774815456813187</c:v>
                </c:pt>
                <c:pt idx="1">
                  <c:v>5.0915229184097015</c:v>
                </c:pt>
                <c:pt idx="2">
                  <c:v>5.6564403761355999</c:v>
                </c:pt>
                <c:pt idx="3">
                  <c:v>6.1966813768439604</c:v>
                </c:pt>
                <c:pt idx="4">
                  <c:v>6.3679555817975384</c:v>
                </c:pt>
                <c:pt idx="5">
                  <c:v>6.7369828306135249</c:v>
                </c:pt>
                <c:pt idx="6">
                  <c:v>6.9047629034688649</c:v>
                </c:pt>
                <c:pt idx="7">
                  <c:v>7.220853209518908</c:v>
                </c:pt>
                <c:pt idx="8">
                  <c:v>7.3885613229933291</c:v>
                </c:pt>
                <c:pt idx="9">
                  <c:v>7.3271091056886934</c:v>
                </c:pt>
                <c:pt idx="10">
                  <c:v>7.6291727413693522</c:v>
                </c:pt>
                <c:pt idx="11">
                  <c:v>7.4970200766013528</c:v>
                </c:pt>
                <c:pt idx="12">
                  <c:v>7.6074224184743251</c:v>
                </c:pt>
                <c:pt idx="13">
                  <c:v>7.9389404867822755</c:v>
                </c:pt>
                <c:pt idx="14">
                  <c:v>7.8533273031696416</c:v>
                </c:pt>
                <c:pt idx="15">
                  <c:v>7.8024088303690018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01ED-40FD-A2D0-6A572A1F2E5C}"/>
            </c:ext>
          </c:extLst>
        </c:ser>
        <c:ser>
          <c:idx val="0"/>
          <c:order val="1"/>
          <c:tx>
            <c:v>Codebook 2</c:v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errBars>
            <c:errDir val="x"/>
            <c:errBarType val="both"/>
            <c:errValType val="stdErr"/>
            <c:noEndCap val="0"/>
            <c:spPr>
              <a:noFill/>
              <a:ln w="9525" cap="flat" cmpd="sng" algn="ctr">
                <a:noFill/>
                <a:round/>
              </a:ln>
              <a:effectLst/>
            </c:spPr>
          </c:errBars>
          <c:errBars>
            <c:errDir val="y"/>
            <c:errBarType val="both"/>
            <c:errValType val="cust"/>
            <c:noEndCap val="0"/>
            <c:plus>
              <c:numRef>
                <c:f>'R9.S.Df.K'!$O$20:$O$35</c:f>
                <c:numCache>
                  <c:formatCode>General</c:formatCode>
                  <c:ptCount val="16"/>
                  <c:pt idx="0">
                    <c:v>2.9680480839282541E-2</c:v>
                  </c:pt>
                  <c:pt idx="1">
                    <c:v>6.385073420656795E-2</c:v>
                  </c:pt>
                  <c:pt idx="2">
                    <c:v>8.4622589977695561E-2</c:v>
                  </c:pt>
                  <c:pt idx="3">
                    <c:v>9.3079276909295849E-2</c:v>
                  </c:pt>
                  <c:pt idx="4">
                    <c:v>9.6755298741300955E-2</c:v>
                  </c:pt>
                  <c:pt idx="5">
                    <c:v>7.2370905451501599E-2</c:v>
                  </c:pt>
                  <c:pt idx="6">
                    <c:v>7.2369726014201774E-2</c:v>
                  </c:pt>
                  <c:pt idx="7">
                    <c:v>5.2631606601522662E-2</c:v>
                  </c:pt>
                  <c:pt idx="8">
                    <c:v>6.2675665013872006E-2</c:v>
                  </c:pt>
                  <c:pt idx="9">
                    <c:v>6.2451043878942514E-2</c:v>
                  </c:pt>
                  <c:pt idx="10">
                    <c:v>5.5008363466622967E-2</c:v>
                  </c:pt>
                  <c:pt idx="11">
                    <c:v>7.4435137807759233E-2</c:v>
                  </c:pt>
                  <c:pt idx="12">
                    <c:v>5.988240255834576E-2</c:v>
                  </c:pt>
                  <c:pt idx="13">
                    <c:v>7.4354224720167394E-2</c:v>
                  </c:pt>
                  <c:pt idx="14">
                    <c:v>7.6194054591661953E-2</c:v>
                  </c:pt>
                  <c:pt idx="15">
                    <c:v>6.2914832135140486E-2</c:v>
                  </c:pt>
                </c:numCache>
              </c:numRef>
            </c:plus>
            <c:minus>
              <c:numRef>
                <c:f>'R9.S.Df.K'!$N$20:$N$35</c:f>
                <c:numCache>
                  <c:formatCode>General</c:formatCode>
                  <c:ptCount val="16"/>
                  <c:pt idx="0">
                    <c:v>2.9479015068769598E-2</c:v>
                  </c:pt>
                  <c:pt idx="1">
                    <c:v>6.2925574975993825E-2</c:v>
                  </c:pt>
                  <c:pt idx="2">
                    <c:v>8.3005177962478527E-2</c:v>
                  </c:pt>
                  <c:pt idx="3">
                    <c:v>9.1126160904508424E-2</c:v>
                  </c:pt>
                  <c:pt idx="4">
                    <c:v>9.4646607138142436E-2</c:v>
                  </c:pt>
                  <c:pt idx="5">
                    <c:v>7.1184656144758662E-2</c:v>
                  </c:pt>
                  <c:pt idx="6">
                    <c:v>7.1183515056025826E-2</c:v>
                  </c:pt>
                  <c:pt idx="7">
                    <c:v>5.2001400494011918E-2</c:v>
                  </c:pt>
                  <c:pt idx="8">
                    <c:v>6.1784007357069015E-2</c:v>
                  </c:pt>
                  <c:pt idx="9">
                    <c:v>6.1565720898316911E-2</c:v>
                  </c:pt>
                  <c:pt idx="10">
                    <c:v>5.4320325332840369E-2</c:v>
                  </c:pt>
                  <c:pt idx="11">
                    <c:v>7.3180837544862598E-2</c:v>
                  </c:pt>
                  <c:pt idx="12">
                    <c:v>5.9067935572928221E-2</c:v>
                  </c:pt>
                  <c:pt idx="13">
                    <c:v>7.3102627032222145E-2</c:v>
                  </c:pt>
                  <c:pt idx="14">
                    <c:v>7.488029687884179E-2</c:v>
                  </c:pt>
                  <c:pt idx="15">
                    <c:v>6.2016405113311635E-2</c:v>
                  </c:pt>
                </c:numCache>
              </c:numRef>
            </c:minus>
            <c:spPr>
              <a:noFill/>
              <a:ln w="9525" cap="flat" cmpd="sng" algn="ctr">
                <a:solidFill>
                  <a:schemeClr val="tx1">
                    <a:lumMod val="65000"/>
                    <a:lumOff val="35000"/>
                  </a:schemeClr>
                </a:solidFill>
                <a:round/>
              </a:ln>
              <a:effectLst/>
            </c:spPr>
          </c:errBars>
          <c:xVal>
            <c:numRef>
              <c:f>'R9.S.Df.K'!$E$20:$E$35</c:f>
              <c:numCache>
                <c:formatCode>#,##0</c:formatCode>
                <c:ptCount val="16"/>
                <c:pt idx="0">
                  <c:v>5</c:v>
                </c:pt>
                <c:pt idx="1">
                  <c:v>6</c:v>
                </c:pt>
                <c:pt idx="2">
                  <c:v>7</c:v>
                </c:pt>
                <c:pt idx="3">
                  <c:v>8</c:v>
                </c:pt>
                <c:pt idx="4">
                  <c:v>9</c:v>
                </c:pt>
                <c:pt idx="5">
                  <c:v>10</c:v>
                </c:pt>
                <c:pt idx="6">
                  <c:v>11</c:v>
                </c:pt>
                <c:pt idx="7">
                  <c:v>12</c:v>
                </c:pt>
                <c:pt idx="8">
                  <c:v>13</c:v>
                </c:pt>
                <c:pt idx="9">
                  <c:v>14</c:v>
                </c:pt>
                <c:pt idx="10">
                  <c:v>15</c:v>
                </c:pt>
                <c:pt idx="11">
                  <c:v>16</c:v>
                </c:pt>
                <c:pt idx="12">
                  <c:v>17</c:v>
                </c:pt>
                <c:pt idx="13">
                  <c:v>18</c:v>
                </c:pt>
                <c:pt idx="14">
                  <c:v>19</c:v>
                </c:pt>
                <c:pt idx="15">
                  <c:v>20</c:v>
                </c:pt>
              </c:numCache>
            </c:numRef>
          </c:xVal>
          <c:yVal>
            <c:numRef>
              <c:f>'R9.S.Df.K'!$K$20:$K$35</c:f>
              <c:numCache>
                <c:formatCode>#,##0.0000</c:formatCode>
                <c:ptCount val="16"/>
                <c:pt idx="0">
                  <c:v>3.4590371211504305</c:v>
                </c:pt>
                <c:pt idx="1">
                  <c:v>4.4938442079211853</c:v>
                </c:pt>
                <c:pt idx="2">
                  <c:v>5.370532409803098</c:v>
                </c:pt>
                <c:pt idx="3">
                  <c:v>6.3516769546082594</c:v>
                </c:pt>
                <c:pt idx="4">
                  <c:v>7.1904243247004986</c:v>
                </c:pt>
                <c:pt idx="5">
                  <c:v>8.1154026370170929</c:v>
                </c:pt>
                <c:pt idx="6">
                  <c:v>8.6064574083109697</c:v>
                </c:pt>
                <c:pt idx="7">
                  <c:v>9.092718041465556</c:v>
                </c:pt>
                <c:pt idx="8">
                  <c:v>9.4923368876695768</c:v>
                </c:pt>
                <c:pt idx="9">
                  <c:v>9.7469413473522977</c:v>
                </c:pt>
                <c:pt idx="10">
                  <c:v>10.001447889601353</c:v>
                </c:pt>
                <c:pt idx="11">
                  <c:v>10.247214088082208</c:v>
                </c:pt>
                <c:pt idx="12">
                  <c:v>10.560934790521795</c:v>
                </c:pt>
                <c:pt idx="13">
                  <c:v>10.733146441722399</c:v>
                </c:pt>
                <c:pt idx="14">
                  <c:v>10.79789684328534</c:v>
                </c:pt>
                <c:pt idx="15">
                  <c:v>11.054993275436411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01ED-40FD-A2D0-6A572A1F2E5C}"/>
            </c:ext>
          </c:extLst>
        </c:ser>
        <c:ser>
          <c:idx val="2"/>
          <c:order val="2"/>
          <c:tx>
            <c:v>Codebook 3</c:v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errBars>
            <c:errDir val="x"/>
            <c:errBarType val="both"/>
            <c:errValType val="stdErr"/>
            <c:noEndCap val="0"/>
            <c:spPr>
              <a:noFill/>
              <a:ln w="9525" cap="flat" cmpd="sng" algn="ctr">
                <a:noFill/>
                <a:round/>
              </a:ln>
              <a:effectLst/>
            </c:spPr>
          </c:errBars>
          <c:errBars>
            <c:errDir val="y"/>
            <c:errBarType val="both"/>
            <c:errValType val="cust"/>
            <c:noEndCap val="0"/>
            <c:plus>
              <c:numRef>
                <c:f>'R9.S.Df.K'!$O$37:$O$52</c:f>
                <c:numCache>
                  <c:formatCode>General</c:formatCode>
                  <c:ptCount val="16"/>
                  <c:pt idx="0">
                    <c:v>2.8757833900250773E-2</c:v>
                  </c:pt>
                  <c:pt idx="1">
                    <c:v>2.9719477626288793E-2</c:v>
                  </c:pt>
                  <c:pt idx="2">
                    <c:v>3.365346393058477E-2</c:v>
                  </c:pt>
                  <c:pt idx="3">
                    <c:v>3.9863447556995446E-2</c:v>
                  </c:pt>
                  <c:pt idx="4">
                    <c:v>4.2500633205523997E-2</c:v>
                  </c:pt>
                  <c:pt idx="5">
                    <c:v>4.6635856915208329E-2</c:v>
                  </c:pt>
                  <c:pt idx="6">
                    <c:v>5.0096797158424522E-2</c:v>
                  </c:pt>
                  <c:pt idx="7">
                    <c:v>5.0847037141030782E-2</c:v>
                  </c:pt>
                  <c:pt idx="8">
                    <c:v>5.6612676754930646E-2</c:v>
                  </c:pt>
                  <c:pt idx="9">
                    <c:v>5.6511657724829689E-2</c:v>
                  </c:pt>
                  <c:pt idx="10">
                    <c:v>5.8070114801930472E-2</c:v>
                  </c:pt>
                  <c:pt idx="11">
                    <c:v>6.0566079334853029E-2</c:v>
                  </c:pt>
                  <c:pt idx="12">
                    <c:v>6.6549586873829725E-2</c:v>
                  </c:pt>
                  <c:pt idx="13">
                    <c:v>6.8305154682201774E-2</c:v>
                  </c:pt>
                  <c:pt idx="14">
                    <c:v>6.8540190773155985E-2</c:v>
                  </c:pt>
                  <c:pt idx="15">
                    <c:v>7.1077609146577458E-2</c:v>
                  </c:pt>
                </c:numCache>
              </c:numRef>
            </c:plus>
            <c:minus>
              <c:numRef>
                <c:f>'R9.S.Df.K'!$N$37:$N$52</c:f>
                <c:numCache>
                  <c:formatCode>General</c:formatCode>
                  <c:ptCount val="16"/>
                  <c:pt idx="0">
                    <c:v>2.8568659096166904E-2</c:v>
                  </c:pt>
                  <c:pt idx="1">
                    <c:v>2.9517483901053687E-2</c:v>
                  </c:pt>
                  <c:pt idx="2">
                    <c:v>3.3394687332482853E-2</c:v>
                  </c:pt>
                  <c:pt idx="3">
                    <c:v>3.9500870572210189E-2</c:v>
                  </c:pt>
                  <c:pt idx="4">
                    <c:v>4.2088743927663153E-2</c:v>
                  </c:pt>
                  <c:pt idx="5">
                    <c:v>4.6140382798579793E-2</c:v>
                  </c:pt>
                  <c:pt idx="6">
                    <c:v>4.9525503621429934E-2</c:v>
                  </c:pt>
                  <c:pt idx="7">
                    <c:v>5.0258604615200042E-2</c:v>
                  </c:pt>
                  <c:pt idx="8">
                    <c:v>5.5884185447247603E-2</c:v>
                  </c:pt>
                  <c:pt idx="9">
                    <c:v>5.5785747288648935E-2</c:v>
                  </c:pt>
                  <c:pt idx="10">
                    <c:v>5.7303885373425345E-2</c:v>
                  </c:pt>
                  <c:pt idx="11">
                    <c:v>5.9733037728046057E-2</c:v>
                  </c:pt>
                  <c:pt idx="12">
                    <c:v>6.5545178845965779E-2</c:v>
                  </c:pt>
                  <c:pt idx="13">
                    <c:v>6.7247475474561114E-2</c:v>
                  </c:pt>
                  <c:pt idx="14">
                    <c:v>6.7475276749606294E-2</c:v>
                  </c:pt>
                  <c:pt idx="15">
                    <c:v>6.9933044122397092E-2</c:v>
                  </c:pt>
                </c:numCache>
              </c:numRef>
            </c:minus>
            <c:spPr>
              <a:noFill/>
              <a:ln w="9525" cap="flat" cmpd="sng" algn="ctr">
                <a:solidFill>
                  <a:schemeClr val="tx1">
                    <a:lumMod val="65000"/>
                    <a:lumOff val="35000"/>
                  </a:schemeClr>
                </a:solidFill>
                <a:round/>
              </a:ln>
              <a:effectLst/>
            </c:spPr>
          </c:errBars>
          <c:xVal>
            <c:numRef>
              <c:f>'R9.S.Df.K'!$E$37:$E$52</c:f>
              <c:numCache>
                <c:formatCode>#,##0</c:formatCode>
                <c:ptCount val="16"/>
                <c:pt idx="0">
                  <c:v>5</c:v>
                </c:pt>
                <c:pt idx="1">
                  <c:v>6</c:v>
                </c:pt>
                <c:pt idx="2">
                  <c:v>7</c:v>
                </c:pt>
                <c:pt idx="3">
                  <c:v>8</c:v>
                </c:pt>
                <c:pt idx="4">
                  <c:v>9</c:v>
                </c:pt>
                <c:pt idx="5">
                  <c:v>10</c:v>
                </c:pt>
                <c:pt idx="6">
                  <c:v>11</c:v>
                </c:pt>
                <c:pt idx="7">
                  <c:v>12</c:v>
                </c:pt>
                <c:pt idx="8">
                  <c:v>13</c:v>
                </c:pt>
                <c:pt idx="9">
                  <c:v>14</c:v>
                </c:pt>
                <c:pt idx="10">
                  <c:v>15</c:v>
                </c:pt>
                <c:pt idx="11">
                  <c:v>16</c:v>
                </c:pt>
                <c:pt idx="12">
                  <c:v>17</c:v>
                </c:pt>
                <c:pt idx="13">
                  <c:v>18</c:v>
                </c:pt>
                <c:pt idx="14">
                  <c:v>19</c:v>
                </c:pt>
                <c:pt idx="15">
                  <c:v>20</c:v>
                </c:pt>
              </c:numCache>
            </c:numRef>
          </c:xVal>
          <c:yVal>
            <c:numRef>
              <c:f>'R9.S.Df.K'!$K$37:$K$52</c:f>
              <c:numCache>
                <c:formatCode>#,##0.0000</c:formatCode>
                <c:ptCount val="16"/>
                <c:pt idx="0">
                  <c:v>4.6637620474790396</c:v>
                </c:pt>
                <c:pt idx="1">
                  <c:v>5.726762136427527</c:v>
                </c:pt>
                <c:pt idx="2">
                  <c:v>6.4531544604527147</c:v>
                </c:pt>
                <c:pt idx="3">
                  <c:v>7.034079294426407</c:v>
                </c:pt>
                <c:pt idx="4">
                  <c:v>7.5010895529289403</c:v>
                </c:pt>
                <c:pt idx="5">
                  <c:v>7.8790121745582686</c:v>
                </c:pt>
                <c:pt idx="6">
                  <c:v>8.1318487555254571</c:v>
                </c:pt>
                <c:pt idx="7">
                  <c:v>8.401822474321909</c:v>
                </c:pt>
                <c:pt idx="8">
                  <c:v>8.5964911074746979</c:v>
                </c:pt>
                <c:pt idx="9">
                  <c:v>8.8046918858722361</c:v>
                </c:pt>
                <c:pt idx="10">
                  <c:v>8.9194262621614602</c:v>
                </c:pt>
                <c:pt idx="11">
                  <c:v>9.1009488856060212</c:v>
                </c:pt>
                <c:pt idx="12">
                  <c:v>9.1435271170314341</c:v>
                </c:pt>
                <c:pt idx="13">
                  <c:v>9.2897761728481694</c:v>
                </c:pt>
                <c:pt idx="14">
                  <c:v>9.3660408512709026</c:v>
                </c:pt>
                <c:pt idx="15">
                  <c:v>9.3479387194568808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01ED-40FD-A2D0-6A572A1F2E5C}"/>
            </c:ext>
          </c:extLst>
        </c:ser>
        <c:ser>
          <c:idx val="3"/>
          <c:order val="3"/>
          <c:tx>
            <c:v>Codebook 4</c:v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errBars>
            <c:errDir val="x"/>
            <c:errBarType val="both"/>
            <c:errValType val="stdErr"/>
            <c:noEndCap val="0"/>
            <c:spPr>
              <a:noFill/>
              <a:ln w="9525" cap="flat" cmpd="sng" algn="ctr">
                <a:noFill/>
                <a:round/>
              </a:ln>
              <a:effectLst/>
            </c:spPr>
          </c:errBars>
          <c:errBars>
            <c:errDir val="y"/>
            <c:errBarType val="both"/>
            <c:errValType val="cust"/>
            <c:noEndCap val="0"/>
            <c:plus>
              <c:numRef>
                <c:f>'R9.S.Df.K'!$O$54:$O$69</c:f>
                <c:numCache>
                  <c:formatCode>General</c:formatCode>
                  <c:ptCount val="16"/>
                  <c:pt idx="0">
                    <c:v>3.8250163133112913E-2</c:v>
                  </c:pt>
                  <c:pt idx="1">
                    <c:v>5.4891486676034162E-2</c:v>
                  </c:pt>
                  <c:pt idx="2">
                    <c:v>7.5315254059654002E-2</c:v>
                  </c:pt>
                  <c:pt idx="3">
                    <c:v>9.2138969458848585E-2</c:v>
                  </c:pt>
                  <c:pt idx="4">
                    <c:v>0.10207037551578857</c:v>
                  </c:pt>
                  <c:pt idx="5">
                    <c:v>0.12770165975494763</c:v>
                  </c:pt>
                  <c:pt idx="6">
                    <c:v>0.14098912617381032</c:v>
                  </c:pt>
                  <c:pt idx="7">
                    <c:v>0.15166576861512127</c:v>
                  </c:pt>
                  <c:pt idx="8">
                    <c:v>0.15767488392338613</c:v>
                  </c:pt>
                  <c:pt idx="9">
                    <c:v>0.17049966737882727</c:v>
                  </c:pt>
                  <c:pt idx="10">
                    <c:v>0.17877630166708869</c:v>
                  </c:pt>
                  <c:pt idx="11">
                    <c:v>0.19547518175233769</c:v>
                  </c:pt>
                  <c:pt idx="12">
                    <c:v>0.2043773564549678</c:v>
                  </c:pt>
                  <c:pt idx="13">
                    <c:v>0.2112041292982525</c:v>
                  </c:pt>
                  <c:pt idx="14">
                    <c:v>0.21787691469239689</c:v>
                  </c:pt>
                  <c:pt idx="15">
                    <c:v>0.22303319535124189</c:v>
                  </c:pt>
                </c:numCache>
              </c:numRef>
            </c:plus>
            <c:minus>
              <c:numRef>
                <c:f>'R9.S.Df.K'!$N$54:$N$69</c:f>
                <c:numCache>
                  <c:formatCode>General</c:formatCode>
                  <c:ptCount val="16"/>
                  <c:pt idx="0">
                    <c:v>3.7916216737454711E-2</c:v>
                  </c:pt>
                  <c:pt idx="1">
                    <c:v>5.4206351028229349E-2</c:v>
                  </c:pt>
                  <c:pt idx="2">
                    <c:v>7.4031371998033002E-2</c:v>
                  </c:pt>
                  <c:pt idx="3">
                    <c:v>9.0224711364703225E-2</c:v>
                  </c:pt>
                  <c:pt idx="4">
                    <c:v>9.9726442164771001E-2</c:v>
                  </c:pt>
                  <c:pt idx="5">
                    <c:v>0.12405368113790693</c:v>
                  </c:pt>
                  <c:pt idx="6">
                    <c:v>0.13655561494883628</c:v>
                  </c:pt>
                  <c:pt idx="7">
                    <c:v>0.14654748580813859</c:v>
                  </c:pt>
                  <c:pt idx="8">
                    <c:v>0.15215033094615471</c:v>
                  </c:pt>
                  <c:pt idx="9">
                    <c:v>0.16405811397523884</c:v>
                  </c:pt>
                  <c:pt idx="10">
                    <c:v>0.17170706214678155</c:v>
                  </c:pt>
                  <c:pt idx="11">
                    <c:v>0.18705453005088124</c:v>
                  </c:pt>
                  <c:pt idx="12">
                    <c:v>0.19519016145356005</c:v>
                  </c:pt>
                  <c:pt idx="13">
                    <c:v>0.20140752841498077</c:v>
                  </c:pt>
                  <c:pt idx="14">
                    <c:v>0.20746664632798328</c:v>
                  </c:pt>
                  <c:pt idx="15">
                    <c:v>0.21213658186687567</c:v>
                  </c:pt>
                </c:numCache>
              </c:numRef>
            </c:minus>
            <c:spPr>
              <a:noFill/>
              <a:ln w="9525" cap="flat" cmpd="sng" algn="ctr">
                <a:solidFill>
                  <a:schemeClr val="tx1">
                    <a:lumMod val="65000"/>
                    <a:lumOff val="35000"/>
                  </a:schemeClr>
                </a:solidFill>
                <a:round/>
              </a:ln>
              <a:effectLst/>
            </c:spPr>
          </c:errBars>
          <c:xVal>
            <c:numRef>
              <c:f>'R9.S.Df.K'!$E$54:$E$69</c:f>
              <c:numCache>
                <c:formatCode>#,##0</c:formatCode>
                <c:ptCount val="16"/>
                <c:pt idx="0">
                  <c:v>5</c:v>
                </c:pt>
                <c:pt idx="1">
                  <c:v>6</c:v>
                </c:pt>
                <c:pt idx="2">
                  <c:v>7</c:v>
                </c:pt>
                <c:pt idx="3">
                  <c:v>8</c:v>
                </c:pt>
                <c:pt idx="4">
                  <c:v>9</c:v>
                </c:pt>
                <c:pt idx="5">
                  <c:v>10</c:v>
                </c:pt>
                <c:pt idx="6">
                  <c:v>11</c:v>
                </c:pt>
                <c:pt idx="7">
                  <c:v>12</c:v>
                </c:pt>
                <c:pt idx="8">
                  <c:v>13</c:v>
                </c:pt>
                <c:pt idx="9">
                  <c:v>14</c:v>
                </c:pt>
                <c:pt idx="10">
                  <c:v>15</c:v>
                </c:pt>
                <c:pt idx="11">
                  <c:v>16</c:v>
                </c:pt>
                <c:pt idx="12">
                  <c:v>17</c:v>
                </c:pt>
                <c:pt idx="13">
                  <c:v>18</c:v>
                </c:pt>
                <c:pt idx="14">
                  <c:v>19</c:v>
                </c:pt>
                <c:pt idx="15">
                  <c:v>20</c:v>
                </c:pt>
              </c:numCache>
            </c:numRef>
          </c:xVal>
          <c:yVal>
            <c:numRef>
              <c:f>'R9.S.Df.K'!$K$54:$K$69</c:f>
              <c:numCache>
                <c:formatCode>#,##0.0000</c:formatCode>
                <c:ptCount val="16"/>
                <c:pt idx="0">
                  <c:v>5.2554090981627057</c:v>
                </c:pt>
                <c:pt idx="1">
                  <c:v>6.4569943765464028</c:v>
                </c:pt>
                <c:pt idx="2">
                  <c:v>7.2499594742176416</c:v>
                </c:pt>
                <c:pt idx="3">
                  <c:v>7.9115571065926202</c:v>
                </c:pt>
                <c:pt idx="4">
                  <c:v>8.3723651280335822</c:v>
                </c:pt>
                <c:pt idx="5">
                  <c:v>8.6507951007439292</c:v>
                </c:pt>
                <c:pt idx="6">
                  <c:v>8.8550021650634338</c:v>
                </c:pt>
                <c:pt idx="7">
                  <c:v>9.0401747155567129</c:v>
                </c:pt>
                <c:pt idx="8">
                  <c:v>9.2756627403161218</c:v>
                </c:pt>
                <c:pt idx="9">
                  <c:v>9.1619887546219196</c:v>
                </c:pt>
                <c:pt idx="10">
                  <c:v>9.4208044146850192</c:v>
                </c:pt>
                <c:pt idx="11">
                  <c:v>9.3206167002565952</c:v>
                </c:pt>
                <c:pt idx="12">
                  <c:v>9.2953113294950978</c:v>
                </c:pt>
                <c:pt idx="13">
                  <c:v>9.3094888640271982</c:v>
                </c:pt>
                <c:pt idx="14">
                  <c:v>8.9414932561485649</c:v>
                </c:pt>
                <c:pt idx="15">
                  <c:v>8.7669292898753124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01ED-40FD-A2D0-6A572A1F2E5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78679920"/>
        <c:axId val="802641424"/>
      </c:scatterChart>
      <c:valAx>
        <c:axId val="578679920"/>
        <c:scaling>
          <c:orientation val="minMax"/>
          <c:max val="21"/>
          <c:min val="4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AU"/>
                  <a:t>Mean dwell time, </a:t>
                </a:r>
                <a:r>
                  <a:rPr lang="en-AU" i="1"/>
                  <a:t>K</a:t>
                </a:r>
                <a:endParaRPr lang="en-AU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#,##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02641424"/>
        <c:crosses val="autoZero"/>
        <c:crossBetween val="midCat"/>
        <c:majorUnit val="2"/>
        <c:minorUnit val="1"/>
      </c:valAx>
      <c:valAx>
        <c:axId val="802641424"/>
        <c:scaling>
          <c:orientation val="minMax"/>
          <c:max val="14"/>
          <c:min val="2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AU"/>
                  <a:t>Q</a:t>
                </a:r>
                <a:r>
                  <a:rPr lang="en-AU" baseline="0"/>
                  <a:t>uality score, </a:t>
                </a:r>
                <a:r>
                  <a:rPr lang="en-AU" i="1" baseline="0"/>
                  <a:t>Q</a:t>
                </a:r>
                <a:endParaRPr lang="en-AU" i="1"/>
              </a:p>
            </c:rich>
          </c:tx>
          <c:layout>
            <c:manualLayout>
              <c:xMode val="edge"/>
              <c:yMode val="edge"/>
              <c:x val="1.2630035540302917E-2"/>
              <c:y val="0.3506217297161231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#,##0.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78679920"/>
        <c:crosses val="autoZero"/>
        <c:crossBetween val="midCat"/>
        <c:majorUnit val="2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7715254705504232"/>
          <c:y val="0.34878351652668288"/>
          <c:w val="0.21228217619277828"/>
          <c:h val="0.3436151953612574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6350" cap="flat" cmpd="sng" algn="ctr">
      <a:solidFill>
        <a:schemeClr val="tx1"/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AU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Quality score vs. </a:t>
            </a:r>
            <a:r>
              <a:rPr lang="en-AU" sz="1400" b="0" i="1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cs typeface="Times New Roman" panose="02020603050405020304" pitchFamily="18" charset="0"/>
              </a:rPr>
              <a:t>σ</a:t>
            </a:r>
            <a:r>
              <a:rPr lang="en-AU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cs typeface="Times New Roman" panose="02020603050405020304" pitchFamily="18" charset="0"/>
              </a:rPr>
              <a:t> : Dorado R9 'hac'</a:t>
            </a:r>
            <a:endParaRPr lang="en-AU" sz="1400" b="0" i="0" u="none" strike="noStrike" kern="1200" spc="0" baseline="0">
              <a:solidFill>
                <a:sysClr val="windowText" lastClr="000000">
                  <a:lumMod val="65000"/>
                  <a:lumOff val="35000"/>
                </a:sysClr>
              </a:solidFill>
            </a:endParaRPr>
          </a:p>
        </c:rich>
      </c:tx>
      <c:layout>
        <c:manualLayout>
          <c:xMode val="edge"/>
          <c:yMode val="edge"/>
          <c:x val="0.2371309731511505"/>
          <c:y val="3.2615699591851961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1368158226066076"/>
          <c:y val="0.15826550596557501"/>
          <c:w val="0.66061018822016926"/>
          <c:h val="0.65642128030386226"/>
        </c:manualLayout>
      </c:layout>
      <c:scatterChart>
        <c:scatterStyle val="lineMarker"/>
        <c:varyColors val="0"/>
        <c:ser>
          <c:idx val="1"/>
          <c:order val="0"/>
          <c:tx>
            <c:v>Codebook 1</c:v>
          </c:tx>
          <c:spPr>
            <a:ln w="19050" cap="rnd">
              <a:solidFill>
                <a:srgbClr val="FF0000"/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rgbClr val="FF0000"/>
              </a:solidFill>
              <a:ln w="9525">
                <a:solidFill>
                  <a:srgbClr val="FF0000"/>
                </a:solidFill>
              </a:ln>
              <a:effectLst/>
            </c:spPr>
          </c:marker>
          <c:errBars>
            <c:errDir val="x"/>
            <c:errBarType val="both"/>
            <c:errValType val="stdErr"/>
            <c:noEndCap val="0"/>
            <c:spPr>
              <a:noFill/>
              <a:ln w="9525" cap="flat" cmpd="sng" algn="ctr">
                <a:noFill/>
                <a:round/>
              </a:ln>
              <a:effectLst/>
            </c:spPr>
          </c:errBars>
          <c:errBars>
            <c:errDir val="y"/>
            <c:errBarType val="both"/>
            <c:errValType val="cust"/>
            <c:noEndCap val="0"/>
            <c:plus>
              <c:numRef>
                <c:f>'R9.S.Dh.sd'!$O$3:$O$23</c:f>
                <c:numCache>
                  <c:formatCode>General</c:formatCode>
                  <c:ptCount val="21"/>
                  <c:pt idx="0">
                    <c:v>0.20846204085816566</c:v>
                  </c:pt>
                  <c:pt idx="1">
                    <c:v>0.19789186235514755</c:v>
                  </c:pt>
                  <c:pt idx="2">
                    <c:v>0.20380006778748161</c:v>
                  </c:pt>
                  <c:pt idx="3">
                    <c:v>0.20734768280255089</c:v>
                  </c:pt>
                  <c:pt idx="4">
                    <c:v>0.21432736853690848</c:v>
                  </c:pt>
                  <c:pt idx="5">
                    <c:v>0.22056687564949762</c:v>
                  </c:pt>
                  <c:pt idx="6">
                    <c:v>0.20182147532767836</c:v>
                  </c:pt>
                  <c:pt idx="7">
                    <c:v>0.20176467551695332</c:v>
                  </c:pt>
                  <c:pt idx="8">
                    <c:v>0.18872823758132107</c:v>
                  </c:pt>
                  <c:pt idx="9">
                    <c:v>0.18541881832543083</c:v>
                  </c:pt>
                  <c:pt idx="10">
                    <c:v>0.1763500969557672</c:v>
                  </c:pt>
                  <c:pt idx="11">
                    <c:v>0.16941423849504922</c:v>
                  </c:pt>
                  <c:pt idx="12">
                    <c:v>0.15382485857643324</c:v>
                  </c:pt>
                  <c:pt idx="13">
                    <c:v>0.13544104925962319</c:v>
                  </c:pt>
                  <c:pt idx="14">
                    <c:v>0.1210617696282057</c:v>
                  </c:pt>
                  <c:pt idx="15">
                    <c:v>0.11223468650979562</c:v>
                  </c:pt>
                  <c:pt idx="16">
                    <c:v>0.10247995710383773</c:v>
                  </c:pt>
                  <c:pt idx="17">
                    <c:v>9.7310948484552462E-2</c:v>
                  </c:pt>
                  <c:pt idx="18">
                    <c:v>8.8770617999633039E-2</c:v>
                  </c:pt>
                  <c:pt idx="19">
                    <c:v>7.9478303188460053E-2</c:v>
                  </c:pt>
                  <c:pt idx="20">
                    <c:v>7.524316380670637E-2</c:v>
                  </c:pt>
                </c:numCache>
              </c:numRef>
            </c:plus>
            <c:minus>
              <c:numRef>
                <c:f>'R9.S.Dh.sd'!$N$3:$N$23</c:f>
                <c:numCache>
                  <c:formatCode>General</c:formatCode>
                  <c:ptCount val="21"/>
                  <c:pt idx="0">
                    <c:v>0.19891246176597654</c:v>
                  </c:pt>
                  <c:pt idx="1">
                    <c:v>0.18926627408644947</c:v>
                  </c:pt>
                  <c:pt idx="2">
                    <c:v>0.19466354857536849</c:v>
                  </c:pt>
                  <c:pt idx="3">
                    <c:v>0.19789763066976995</c:v>
                  </c:pt>
                  <c:pt idx="4">
                    <c:v>0.20424574814776797</c:v>
                  </c:pt>
                  <c:pt idx="5">
                    <c:v>0.20990420594135095</c:v>
                  </c:pt>
                  <c:pt idx="6">
                    <c:v>0.19285762563647069</c:v>
                  </c:pt>
                  <c:pt idx="7">
                    <c:v>0.19280575943870204</c:v>
                  </c:pt>
                  <c:pt idx="8">
                    <c:v>0.18086723446239716</c:v>
                  </c:pt>
                  <c:pt idx="9">
                    <c:v>0.1778255805480633</c:v>
                  </c:pt>
                  <c:pt idx="10">
                    <c:v>0.16946776162422417</c:v>
                  </c:pt>
                  <c:pt idx="11">
                    <c:v>0.16305291942032074</c:v>
                  </c:pt>
                  <c:pt idx="12">
                    <c:v>0.14856232651599033</c:v>
                  </c:pt>
                  <c:pt idx="13">
                    <c:v>0.13134455632085462</c:v>
                  </c:pt>
                  <c:pt idx="14">
                    <c:v>0.11777842986518028</c:v>
                  </c:pt>
                  <c:pt idx="15">
                    <c:v>0.10940712568069788</c:v>
                  </c:pt>
                  <c:pt idx="16">
                    <c:v>0.10011739171445733</c:v>
                  </c:pt>
                  <c:pt idx="17">
                    <c:v>9.517823356780486E-2</c:v>
                  </c:pt>
                  <c:pt idx="18">
                    <c:v>8.6992415807306323E-2</c:v>
                  </c:pt>
                  <c:pt idx="19">
                    <c:v>7.804990736971984E-2</c:v>
                  </c:pt>
                  <c:pt idx="20">
                    <c:v>7.3961717530927729E-2</c:v>
                  </c:pt>
                </c:numCache>
              </c:numRef>
            </c:minus>
            <c:spPr>
              <a:noFill/>
              <a:ln w="9525" cap="flat" cmpd="sng" algn="ctr">
                <a:solidFill>
                  <a:schemeClr val="tx1">
                    <a:lumMod val="65000"/>
                    <a:lumOff val="35000"/>
                  </a:schemeClr>
                </a:solidFill>
                <a:round/>
              </a:ln>
              <a:effectLst/>
            </c:spPr>
          </c:errBars>
          <c:xVal>
            <c:numRef>
              <c:f>'R9.S.Dh.sd'!$D$3:$D$23</c:f>
              <c:numCache>
                <c:formatCode>#,##0.00</c:formatCode>
                <c:ptCount val="21"/>
                <c:pt idx="0">
                  <c:v>0</c:v>
                </c:pt>
                <c:pt idx="1">
                  <c:v>0.01</c:v>
                </c:pt>
                <c:pt idx="2">
                  <c:v>0.02</c:v>
                </c:pt>
                <c:pt idx="3">
                  <c:v>0.03</c:v>
                </c:pt>
                <c:pt idx="4">
                  <c:v>0.04</c:v>
                </c:pt>
                <c:pt idx="5">
                  <c:v>0.05</c:v>
                </c:pt>
                <c:pt idx="6">
                  <c:v>0.06</c:v>
                </c:pt>
                <c:pt idx="7">
                  <c:v>7.0000000000000007E-2</c:v>
                </c:pt>
                <c:pt idx="8">
                  <c:v>0.08</c:v>
                </c:pt>
                <c:pt idx="9">
                  <c:v>0.09</c:v>
                </c:pt>
                <c:pt idx="10">
                  <c:v>0.1</c:v>
                </c:pt>
                <c:pt idx="11">
                  <c:v>0.11</c:v>
                </c:pt>
                <c:pt idx="12">
                  <c:v>0.12</c:v>
                </c:pt>
                <c:pt idx="13">
                  <c:v>0.13</c:v>
                </c:pt>
                <c:pt idx="14">
                  <c:v>0.14000000000000001</c:v>
                </c:pt>
                <c:pt idx="15">
                  <c:v>0.15</c:v>
                </c:pt>
                <c:pt idx="16">
                  <c:v>0.16</c:v>
                </c:pt>
                <c:pt idx="17">
                  <c:v>0.17</c:v>
                </c:pt>
                <c:pt idx="18">
                  <c:v>0.18</c:v>
                </c:pt>
                <c:pt idx="19">
                  <c:v>0.19</c:v>
                </c:pt>
                <c:pt idx="20">
                  <c:v>0.2</c:v>
                </c:pt>
              </c:numCache>
            </c:numRef>
          </c:xVal>
          <c:yVal>
            <c:numRef>
              <c:f>'R9.S.Dh.sd'!$K$3:$K$23</c:f>
              <c:numCache>
                <c:formatCode>#,##0.0000</c:formatCode>
                <c:ptCount val="21"/>
                <c:pt idx="0">
                  <c:v>8.3833258756226421</c:v>
                </c:pt>
                <c:pt idx="1">
                  <c:v>8.7614835903291421</c:v>
                </c:pt>
                <c:pt idx="2">
                  <c:v>8.7359798740687093</c:v>
                </c:pt>
                <c:pt idx="3">
                  <c:v>8.8355830246068816</c:v>
                </c:pt>
                <c:pt idx="4">
                  <c:v>8.6301534376163165</c:v>
                </c:pt>
                <c:pt idx="5">
                  <c:v>8.5589302695067708</c:v>
                </c:pt>
                <c:pt idx="6">
                  <c:v>8.3366857823347491</c:v>
                </c:pt>
                <c:pt idx="7">
                  <c:v>8.3938142760052621</c:v>
                </c:pt>
                <c:pt idx="8">
                  <c:v>8.1327904174586845</c:v>
                </c:pt>
                <c:pt idx="9">
                  <c:v>7.9164823499690318</c:v>
                </c:pt>
                <c:pt idx="10">
                  <c:v>7.7958679212270194</c:v>
                </c:pt>
                <c:pt idx="11">
                  <c:v>7.4795646502689239</c:v>
                </c:pt>
                <c:pt idx="12">
                  <c:v>7.0549703305060945</c:v>
                </c:pt>
                <c:pt idx="13">
                  <c:v>6.8891751901824536</c:v>
                </c:pt>
                <c:pt idx="14">
                  <c:v>6.4598765433277947</c:v>
                </c:pt>
                <c:pt idx="15">
                  <c:v>6.0397510339140679</c:v>
                </c:pt>
                <c:pt idx="16">
                  <c:v>5.7919191171344098</c:v>
                </c:pt>
                <c:pt idx="17">
                  <c:v>5.5196392754376387</c:v>
                </c:pt>
                <c:pt idx="18">
                  <c:v>5.2575944720239942</c:v>
                </c:pt>
                <c:pt idx="19">
                  <c:v>5.0166646827425998</c:v>
                </c:pt>
                <c:pt idx="20">
                  <c:v>4.8514246372507888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915F-41B2-81C6-4088C41A3CD2}"/>
            </c:ext>
          </c:extLst>
        </c:ser>
        <c:ser>
          <c:idx val="0"/>
          <c:order val="1"/>
          <c:tx>
            <c:v>Codebook 2</c:v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errBars>
            <c:errDir val="x"/>
            <c:errBarType val="both"/>
            <c:errValType val="stdErr"/>
            <c:noEndCap val="0"/>
            <c:spPr>
              <a:noFill/>
              <a:ln w="9525" cap="flat" cmpd="sng" algn="ctr">
                <a:noFill/>
                <a:round/>
              </a:ln>
              <a:effectLst/>
            </c:spPr>
          </c:errBars>
          <c:errBars>
            <c:errDir val="y"/>
            <c:errBarType val="both"/>
            <c:errValType val="cust"/>
            <c:noEndCap val="0"/>
            <c:plus>
              <c:numRef>
                <c:f>'R9.S.Dh.sd'!$O$25:$O$45</c:f>
                <c:numCache>
                  <c:formatCode>General</c:formatCode>
                  <c:ptCount val="21"/>
                  <c:pt idx="0">
                    <c:v>6.1366168551407085E-2</c:v>
                  </c:pt>
                  <c:pt idx="1">
                    <c:v>6.1412936812837771E-2</c:v>
                  </c:pt>
                  <c:pt idx="2">
                    <c:v>5.8326084729342753E-2</c:v>
                  </c:pt>
                  <c:pt idx="3">
                    <c:v>5.6386811624367539E-2</c:v>
                  </c:pt>
                  <c:pt idx="4">
                    <c:v>6.1848317182212398E-2</c:v>
                  </c:pt>
                  <c:pt idx="5">
                    <c:v>5.7271247453096308E-2</c:v>
                  </c:pt>
                  <c:pt idx="6">
                    <c:v>5.6180061867321385E-2</c:v>
                  </c:pt>
                  <c:pt idx="7">
                    <c:v>5.9948348196751766E-2</c:v>
                  </c:pt>
                  <c:pt idx="8">
                    <c:v>5.7196551076437174E-2</c:v>
                  </c:pt>
                  <c:pt idx="9">
                    <c:v>5.4313347420128721E-2</c:v>
                  </c:pt>
                  <c:pt idx="10">
                    <c:v>5.5692031539532394E-2</c:v>
                  </c:pt>
                  <c:pt idx="11">
                    <c:v>5.6414063424011118E-2</c:v>
                  </c:pt>
                  <c:pt idx="12">
                    <c:v>6.6302021286656299E-2</c:v>
                  </c:pt>
                  <c:pt idx="13">
                    <c:v>5.786541971246173E-2</c:v>
                  </c:pt>
                  <c:pt idx="14">
                    <c:v>5.3304196461154696E-2</c:v>
                  </c:pt>
                  <c:pt idx="15">
                    <c:v>4.4151580611784702E-2</c:v>
                  </c:pt>
                  <c:pt idx="16">
                    <c:v>4.710443630054062E-2</c:v>
                  </c:pt>
                  <c:pt idx="17">
                    <c:v>4.4708160790248641E-2</c:v>
                  </c:pt>
                  <c:pt idx="18">
                    <c:v>3.8405765671011949E-2</c:v>
                  </c:pt>
                  <c:pt idx="19">
                    <c:v>3.8183423388452375E-2</c:v>
                  </c:pt>
                  <c:pt idx="20">
                    <c:v>3.5118284025048574E-2</c:v>
                  </c:pt>
                </c:numCache>
              </c:numRef>
            </c:plus>
            <c:minus>
              <c:numRef>
                <c:f>'R9.S.Dh.sd'!$N$25:$N$45</c:f>
                <c:numCache>
                  <c:formatCode>General</c:formatCode>
                  <c:ptCount val="21"/>
                  <c:pt idx="0">
                    <c:v>6.0511127302886436E-2</c:v>
                  </c:pt>
                  <c:pt idx="1">
                    <c:v>6.0556600855424136E-2</c:v>
                  </c:pt>
                  <c:pt idx="2">
                    <c:v>5.7553130275667996E-2</c:v>
                  </c:pt>
                  <c:pt idx="3">
                    <c:v>5.5664084556028115E-2</c:v>
                  </c:pt>
                  <c:pt idx="4">
                    <c:v>6.0979882032906829E-2</c:v>
                  </c:pt>
                  <c:pt idx="5">
                    <c:v>5.6525819946950051E-2</c:v>
                  </c:pt>
                  <c:pt idx="6">
                    <c:v>5.5462591385598614E-2</c:v>
                  </c:pt>
                  <c:pt idx="7">
                    <c:v>5.913209855462398E-2</c:v>
                  </c:pt>
                  <c:pt idx="8">
                    <c:v>5.6453054164759209E-2</c:v>
                  </c:pt>
                  <c:pt idx="9">
                    <c:v>5.3642480006663718E-2</c:v>
                  </c:pt>
                  <c:pt idx="10">
                    <c:v>5.4986894035261358E-2</c:v>
                  </c:pt>
                  <c:pt idx="11">
                    <c:v>5.5690642069306406E-2</c:v>
                  </c:pt>
                  <c:pt idx="12">
                    <c:v>6.5305016351741685E-2</c:v>
                  </c:pt>
                  <c:pt idx="13">
                    <c:v>5.7104547314059673E-2</c:v>
                  </c:pt>
                  <c:pt idx="14">
                    <c:v>5.2657879075542979E-2</c:v>
                  </c:pt>
                  <c:pt idx="15">
                    <c:v>4.3707236939762417E-2</c:v>
                  </c:pt>
                  <c:pt idx="16">
                    <c:v>4.6599009350215326E-2</c:v>
                  </c:pt>
                  <c:pt idx="17">
                    <c:v>4.4252601304405559E-2</c:v>
                  </c:pt>
                  <c:pt idx="18">
                    <c:v>3.8069108685229835E-2</c:v>
                  </c:pt>
                  <c:pt idx="19">
                    <c:v>3.7850636268371929E-2</c:v>
                  </c:pt>
                  <c:pt idx="20">
                    <c:v>3.4836584000017545E-2</c:v>
                  </c:pt>
                </c:numCache>
              </c:numRef>
            </c:minus>
            <c:spPr>
              <a:noFill/>
              <a:ln w="9525" cap="flat" cmpd="sng" algn="ctr">
                <a:solidFill>
                  <a:schemeClr val="tx1">
                    <a:lumMod val="65000"/>
                    <a:lumOff val="35000"/>
                  </a:schemeClr>
                </a:solidFill>
                <a:round/>
              </a:ln>
              <a:effectLst/>
            </c:spPr>
          </c:errBars>
          <c:xVal>
            <c:numRef>
              <c:f>'R9.S.Dh.sd'!$D$25:$D$45</c:f>
              <c:numCache>
                <c:formatCode>#,##0.00</c:formatCode>
                <c:ptCount val="21"/>
                <c:pt idx="0">
                  <c:v>0</c:v>
                </c:pt>
                <c:pt idx="1">
                  <c:v>0.01</c:v>
                </c:pt>
                <c:pt idx="2">
                  <c:v>0.02</c:v>
                </c:pt>
                <c:pt idx="3">
                  <c:v>0.03</c:v>
                </c:pt>
                <c:pt idx="4">
                  <c:v>0.04</c:v>
                </c:pt>
                <c:pt idx="5">
                  <c:v>0.05</c:v>
                </c:pt>
                <c:pt idx="6">
                  <c:v>0.06</c:v>
                </c:pt>
                <c:pt idx="7">
                  <c:v>7.0000000000000007E-2</c:v>
                </c:pt>
                <c:pt idx="8">
                  <c:v>0.08</c:v>
                </c:pt>
                <c:pt idx="9">
                  <c:v>0.09</c:v>
                </c:pt>
                <c:pt idx="10">
                  <c:v>0.1</c:v>
                </c:pt>
                <c:pt idx="11">
                  <c:v>0.11</c:v>
                </c:pt>
                <c:pt idx="12">
                  <c:v>0.12</c:v>
                </c:pt>
                <c:pt idx="13">
                  <c:v>0.13</c:v>
                </c:pt>
                <c:pt idx="14">
                  <c:v>0.14000000000000001</c:v>
                </c:pt>
                <c:pt idx="15">
                  <c:v>0.15</c:v>
                </c:pt>
                <c:pt idx="16">
                  <c:v>0.16</c:v>
                </c:pt>
                <c:pt idx="17">
                  <c:v>0.17</c:v>
                </c:pt>
                <c:pt idx="18">
                  <c:v>0.18</c:v>
                </c:pt>
                <c:pt idx="19">
                  <c:v>0.19</c:v>
                </c:pt>
                <c:pt idx="20">
                  <c:v>0.2</c:v>
                </c:pt>
              </c:numCache>
            </c:numRef>
          </c:xVal>
          <c:yVal>
            <c:numRef>
              <c:f>'R9.S.Dh.sd'!$K$25:$K$45</c:f>
              <c:numCache>
                <c:formatCode>#,##0.0000</c:formatCode>
                <c:ptCount val="21"/>
                <c:pt idx="0">
                  <c:v>9.5428594105913245</c:v>
                </c:pt>
                <c:pt idx="1">
                  <c:v>9.4974917189205055</c:v>
                </c:pt>
                <c:pt idx="2">
                  <c:v>9.5149345850777429</c:v>
                </c:pt>
                <c:pt idx="3">
                  <c:v>9.6197625995484195</c:v>
                </c:pt>
                <c:pt idx="4">
                  <c:v>9.5422079525807959</c:v>
                </c:pt>
                <c:pt idx="5">
                  <c:v>9.5181724476142353</c:v>
                </c:pt>
                <c:pt idx="6">
                  <c:v>9.4290471038733266</c:v>
                </c:pt>
                <c:pt idx="7">
                  <c:v>9.3144310492763687</c:v>
                </c:pt>
                <c:pt idx="8">
                  <c:v>9.233595563296582</c:v>
                </c:pt>
                <c:pt idx="9">
                  <c:v>9.1269192772167891</c:v>
                </c:pt>
                <c:pt idx="10">
                  <c:v>8.8294977560475036</c:v>
                </c:pt>
                <c:pt idx="11">
                  <c:v>8.7762026793088772</c:v>
                </c:pt>
                <c:pt idx="12">
                  <c:v>8.5098627608427382</c:v>
                </c:pt>
                <c:pt idx="13">
                  <c:v>8.3510213937523687</c:v>
                </c:pt>
                <c:pt idx="14">
                  <c:v>7.9551825598879402</c:v>
                </c:pt>
                <c:pt idx="15">
                  <c:v>7.5080164260888713</c:v>
                </c:pt>
                <c:pt idx="16">
                  <c:v>7.009650962977469</c:v>
                </c:pt>
                <c:pt idx="17">
                  <c:v>6.578076879456189</c:v>
                </c:pt>
                <c:pt idx="18">
                  <c:v>6.278247138849359</c:v>
                </c:pt>
                <c:pt idx="19">
                  <c:v>5.9665066191588414</c:v>
                </c:pt>
                <c:pt idx="20">
                  <c:v>5.7070539639939213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915F-41B2-81C6-4088C41A3CD2}"/>
            </c:ext>
          </c:extLst>
        </c:ser>
        <c:ser>
          <c:idx val="2"/>
          <c:order val="2"/>
          <c:tx>
            <c:v>Codebook 3</c:v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errBars>
            <c:errDir val="x"/>
            <c:errBarType val="both"/>
            <c:errValType val="stdErr"/>
            <c:noEndCap val="0"/>
            <c:spPr>
              <a:noFill/>
              <a:ln w="9525" cap="flat" cmpd="sng" algn="ctr">
                <a:noFill/>
                <a:round/>
              </a:ln>
              <a:effectLst/>
            </c:spPr>
          </c:errBars>
          <c:errBars>
            <c:errDir val="y"/>
            <c:errBarType val="both"/>
            <c:errValType val="cust"/>
            <c:noEndCap val="0"/>
            <c:plus>
              <c:numRef>
                <c:f>'R9.S.Dh.sd'!$O$47:$O$67</c:f>
                <c:numCache>
                  <c:formatCode>General</c:formatCode>
                  <c:ptCount val="21"/>
                  <c:pt idx="0">
                    <c:v>6.4728808622746214E-2</c:v>
                  </c:pt>
                  <c:pt idx="1">
                    <c:v>6.0695559102251551E-2</c:v>
                  </c:pt>
                  <c:pt idx="2">
                    <c:v>6.1370552339598206E-2</c:v>
                  </c:pt>
                  <c:pt idx="3">
                    <c:v>5.79698830429205E-2</c:v>
                  </c:pt>
                  <c:pt idx="4">
                    <c:v>5.9944126799489794E-2</c:v>
                  </c:pt>
                  <c:pt idx="5">
                    <c:v>5.7609876924823666E-2</c:v>
                  </c:pt>
                  <c:pt idx="6">
                    <c:v>5.6869967475924099E-2</c:v>
                  </c:pt>
                  <c:pt idx="7">
                    <c:v>5.3762619222981201E-2</c:v>
                  </c:pt>
                  <c:pt idx="8">
                    <c:v>5.4471078997558209E-2</c:v>
                  </c:pt>
                  <c:pt idx="9">
                    <c:v>5.4404296674606556E-2</c:v>
                  </c:pt>
                  <c:pt idx="10">
                    <c:v>5.521970963392242E-2</c:v>
                  </c:pt>
                  <c:pt idx="11">
                    <c:v>5.1231846918133428E-2</c:v>
                  </c:pt>
                  <c:pt idx="12">
                    <c:v>5.0516021859408511E-2</c:v>
                  </c:pt>
                  <c:pt idx="13">
                    <c:v>4.7021877393728317E-2</c:v>
                  </c:pt>
                  <c:pt idx="14">
                    <c:v>4.4526636332978597E-2</c:v>
                  </c:pt>
                  <c:pt idx="15">
                    <c:v>4.2168029886809677E-2</c:v>
                  </c:pt>
                  <c:pt idx="16">
                    <c:v>3.7610640265071105E-2</c:v>
                  </c:pt>
                  <c:pt idx="17">
                    <c:v>3.6310325806072186E-2</c:v>
                  </c:pt>
                  <c:pt idx="18">
                    <c:v>3.3059424908342017E-2</c:v>
                  </c:pt>
                  <c:pt idx="19">
                    <c:v>3.3080035645246753E-2</c:v>
                  </c:pt>
                  <c:pt idx="20">
                    <c:v>3.1605506619634127E-2</c:v>
                  </c:pt>
                </c:numCache>
              </c:numRef>
            </c:plus>
            <c:minus>
              <c:numRef>
                <c:f>'R9.S.Dh.sd'!$N$47:$N$67</c:f>
                <c:numCache>
                  <c:formatCode>General</c:formatCode>
                  <c:ptCount val="21"/>
                  <c:pt idx="0">
                    <c:v>6.3778217830556372E-2</c:v>
                  </c:pt>
                  <c:pt idx="1">
                    <c:v>5.9858976434403743E-2</c:v>
                  </c:pt>
                  <c:pt idx="2">
                    <c:v>6.0515389773525996E-2</c:v>
                  </c:pt>
                  <c:pt idx="3">
                    <c:v>5.7206279074817346E-2</c:v>
                  </c:pt>
                  <c:pt idx="4">
                    <c:v>5.9127991328667306E-2</c:v>
                  </c:pt>
                  <c:pt idx="5">
                    <c:v>5.6855666251326653E-2</c:v>
                  </c:pt>
                  <c:pt idx="6">
                    <c:v>5.6134882390347585E-2</c:v>
                  </c:pt>
                  <c:pt idx="7">
                    <c:v>5.3105205628460439E-2</c:v>
                  </c:pt>
                  <c:pt idx="8">
                    <c:v>5.379633354356983E-2</c:v>
                  </c:pt>
                  <c:pt idx="9">
                    <c:v>5.3731194500196366E-2</c:v>
                  </c:pt>
                  <c:pt idx="10">
                    <c:v>5.4526407606005023E-2</c:v>
                  </c:pt>
                  <c:pt idx="11">
                    <c:v>5.0634526402760116E-2</c:v>
                  </c:pt>
                  <c:pt idx="12">
                    <c:v>4.9935182136239931E-2</c:v>
                  </c:pt>
                  <c:pt idx="13">
                    <c:v>4.6518211136969967E-2</c:v>
                  </c:pt>
                  <c:pt idx="14">
                    <c:v>4.4074750006235064E-2</c:v>
                  </c:pt>
                  <c:pt idx="15">
                    <c:v>4.1762531440579842E-2</c:v>
                  </c:pt>
                  <c:pt idx="16">
                    <c:v>3.7287720269198132E-2</c:v>
                  </c:pt>
                  <c:pt idx="17">
                    <c:v>3.6009259238838354E-2</c:v>
                  </c:pt>
                  <c:pt idx="18">
                    <c:v>3.2809669489366478E-2</c:v>
                  </c:pt>
                  <c:pt idx="19">
                    <c:v>3.2829969887928634E-2</c:v>
                  </c:pt>
                  <c:pt idx="20">
                    <c:v>3.1377160316710118E-2</c:v>
                  </c:pt>
                </c:numCache>
              </c:numRef>
            </c:minus>
            <c:spPr>
              <a:noFill/>
              <a:ln w="9525" cap="flat" cmpd="sng" algn="ctr">
                <a:solidFill>
                  <a:schemeClr val="tx1">
                    <a:lumMod val="65000"/>
                    <a:lumOff val="35000"/>
                  </a:schemeClr>
                </a:solidFill>
                <a:round/>
              </a:ln>
              <a:effectLst/>
            </c:spPr>
          </c:errBars>
          <c:xVal>
            <c:numRef>
              <c:f>'R9.S.Dh.sd'!$D$47:$D$67</c:f>
              <c:numCache>
                <c:formatCode>#,##0.00</c:formatCode>
                <c:ptCount val="21"/>
                <c:pt idx="0">
                  <c:v>0</c:v>
                </c:pt>
                <c:pt idx="1">
                  <c:v>0.01</c:v>
                </c:pt>
                <c:pt idx="2">
                  <c:v>0.02</c:v>
                </c:pt>
                <c:pt idx="3">
                  <c:v>0.03</c:v>
                </c:pt>
                <c:pt idx="4">
                  <c:v>0.04</c:v>
                </c:pt>
                <c:pt idx="5">
                  <c:v>0.05</c:v>
                </c:pt>
                <c:pt idx="6">
                  <c:v>0.06</c:v>
                </c:pt>
                <c:pt idx="7">
                  <c:v>7.0000000000000007E-2</c:v>
                </c:pt>
                <c:pt idx="8">
                  <c:v>0.08</c:v>
                </c:pt>
                <c:pt idx="9">
                  <c:v>0.09</c:v>
                </c:pt>
                <c:pt idx="10">
                  <c:v>0.1</c:v>
                </c:pt>
                <c:pt idx="11">
                  <c:v>0.11</c:v>
                </c:pt>
                <c:pt idx="12">
                  <c:v>0.12</c:v>
                </c:pt>
                <c:pt idx="13">
                  <c:v>0.13</c:v>
                </c:pt>
                <c:pt idx="14">
                  <c:v>0.14000000000000001</c:v>
                </c:pt>
                <c:pt idx="15">
                  <c:v>0.15</c:v>
                </c:pt>
                <c:pt idx="16">
                  <c:v>0.16</c:v>
                </c:pt>
                <c:pt idx="17">
                  <c:v>0.17</c:v>
                </c:pt>
                <c:pt idx="18">
                  <c:v>0.18</c:v>
                </c:pt>
                <c:pt idx="19">
                  <c:v>0.19</c:v>
                </c:pt>
                <c:pt idx="20">
                  <c:v>0.2</c:v>
                </c:pt>
              </c:numCache>
            </c:numRef>
          </c:xVal>
          <c:yVal>
            <c:numRef>
              <c:f>'R9.S.Dh.sd'!$K$47:$K$67</c:f>
              <c:numCache>
                <c:formatCode>#,##0.0000</c:formatCode>
                <c:ptCount val="21"/>
                <c:pt idx="0">
                  <c:v>9.1667658152647498</c:v>
                </c:pt>
                <c:pt idx="1">
                  <c:v>9.2384520858256298</c:v>
                </c:pt>
                <c:pt idx="2">
                  <c:v>9.2402746828247668</c:v>
                </c:pt>
                <c:pt idx="3">
                  <c:v>9.2202680614134334</c:v>
                </c:pt>
                <c:pt idx="4">
                  <c:v>9.1227772217582892</c:v>
                </c:pt>
                <c:pt idx="5">
                  <c:v>9.0106799373299307</c:v>
                </c:pt>
                <c:pt idx="6">
                  <c:v>8.7484417041946987</c:v>
                </c:pt>
                <c:pt idx="7">
                  <c:v>8.6159203108252971</c:v>
                </c:pt>
                <c:pt idx="8">
                  <c:v>8.5444105598708084</c:v>
                </c:pt>
                <c:pt idx="9">
                  <c:v>8.510890068906436</c:v>
                </c:pt>
                <c:pt idx="10">
                  <c:v>8.5495905996297612</c:v>
                </c:pt>
                <c:pt idx="11">
                  <c:v>8.5314874270266614</c:v>
                </c:pt>
                <c:pt idx="12">
                  <c:v>8.4219078139447703</c:v>
                </c:pt>
                <c:pt idx="13">
                  <c:v>8.229928634578501</c:v>
                </c:pt>
                <c:pt idx="14">
                  <c:v>8.0193887326626658</c:v>
                </c:pt>
                <c:pt idx="15">
                  <c:v>7.5986694195711282</c:v>
                </c:pt>
                <c:pt idx="16">
                  <c:v>7.215131530039911</c:v>
                </c:pt>
                <c:pt idx="17">
                  <c:v>6.8595712968632752</c:v>
                </c:pt>
                <c:pt idx="18">
                  <c:v>6.5892836346006023</c:v>
                </c:pt>
                <c:pt idx="19">
                  <c:v>6.3100072517357297</c:v>
                </c:pt>
                <c:pt idx="20">
                  <c:v>6.0449887569437415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915F-41B2-81C6-4088C41A3CD2}"/>
            </c:ext>
          </c:extLst>
        </c:ser>
        <c:ser>
          <c:idx val="3"/>
          <c:order val="3"/>
          <c:tx>
            <c:v>Codebook 4</c:v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errBars>
            <c:errDir val="x"/>
            <c:errBarType val="both"/>
            <c:errValType val="stdErr"/>
            <c:noEndCap val="0"/>
            <c:spPr>
              <a:noFill/>
              <a:ln w="9525" cap="flat" cmpd="sng" algn="ctr">
                <a:noFill/>
                <a:round/>
              </a:ln>
              <a:effectLst/>
            </c:spPr>
          </c:errBars>
          <c:errBars>
            <c:errDir val="y"/>
            <c:errBarType val="both"/>
            <c:errValType val="cust"/>
            <c:noEndCap val="0"/>
            <c:plus>
              <c:numRef>
                <c:f>'R9.S.Dh.sd'!$O$69:$O$89</c:f>
                <c:numCache>
                  <c:formatCode>General</c:formatCode>
                  <c:ptCount val="21"/>
                  <c:pt idx="0">
                    <c:v>0.21141070212177837</c:v>
                  </c:pt>
                  <c:pt idx="1">
                    <c:v>0.18147334489746747</c:v>
                  </c:pt>
                  <c:pt idx="2">
                    <c:v>0.20718241585577957</c:v>
                  </c:pt>
                  <c:pt idx="3">
                    <c:v>0.20869450825027336</c:v>
                  </c:pt>
                  <c:pt idx="4">
                    <c:v>0.18298148788825941</c:v>
                  </c:pt>
                  <c:pt idx="5">
                    <c:v>0.20711560852967459</c:v>
                  </c:pt>
                  <c:pt idx="6">
                    <c:v>0.19413757988000846</c:v>
                  </c:pt>
                  <c:pt idx="7">
                    <c:v>0.16351163609878405</c:v>
                  </c:pt>
                  <c:pt idx="8">
                    <c:v>0.14745718187855061</c:v>
                  </c:pt>
                  <c:pt idx="9">
                    <c:v>0.16691386958342136</c:v>
                  </c:pt>
                  <c:pt idx="10">
                    <c:v>0.17476096149487752</c:v>
                  </c:pt>
                  <c:pt idx="11">
                    <c:v>0.16620465397596007</c:v>
                  </c:pt>
                  <c:pt idx="12">
                    <c:v>0.14686473017740376</c:v>
                  </c:pt>
                  <c:pt idx="13">
                    <c:v>0.12892830543554545</c:v>
                  </c:pt>
                  <c:pt idx="14">
                    <c:v>0.13188153514504464</c:v>
                  </c:pt>
                  <c:pt idx="15">
                    <c:v>9.9065975791228666E-2</c:v>
                  </c:pt>
                  <c:pt idx="16">
                    <c:v>8.9119572590481866E-2</c:v>
                  </c:pt>
                  <c:pt idx="17">
                    <c:v>9.147365560302223E-2</c:v>
                  </c:pt>
                  <c:pt idx="18">
                    <c:v>7.950181674739909E-2</c:v>
                  </c:pt>
                  <c:pt idx="19">
                    <c:v>6.376037622948072E-2</c:v>
                  </c:pt>
                  <c:pt idx="20">
                    <c:v>7.4534555650998868E-2</c:v>
                  </c:pt>
                </c:numCache>
              </c:numRef>
            </c:plus>
            <c:minus>
              <c:numRef>
                <c:f>'R9.S.Dh.sd'!$N$69:$N$89</c:f>
                <c:numCache>
                  <c:formatCode>General</c:formatCode>
                  <c:ptCount val="21"/>
                  <c:pt idx="0">
                    <c:v>0.20159537024004592</c:v>
                  </c:pt>
                  <c:pt idx="1">
                    <c:v>0.17419351596617005</c:v>
                  </c:pt>
                  <c:pt idx="2">
                    <c:v>0.19774708188188406</c:v>
                  </c:pt>
                  <c:pt idx="3">
                    <c:v>0.19912410402470648</c:v>
                  </c:pt>
                  <c:pt idx="4">
                    <c:v>0.17558260784583268</c:v>
                  </c:pt>
                  <c:pt idx="5">
                    <c:v>0.19768622110054856</c:v>
                  </c:pt>
                  <c:pt idx="6">
                    <c:v>0.18582934401999651</c:v>
                  </c:pt>
                  <c:pt idx="7">
                    <c:v>0.15757815183582125</c:v>
                  </c:pt>
                  <c:pt idx="8">
                    <c:v>0.14261450309668788</c:v>
                  </c:pt>
                  <c:pt idx="9">
                    <c:v>0.16073553403775698</c:v>
                  </c:pt>
                  <c:pt idx="10">
                    <c:v>0.16799974156075592</c:v>
                  </c:pt>
                  <c:pt idx="11">
                    <c:v>0.16007775247852152</c:v>
                  </c:pt>
                  <c:pt idx="12">
                    <c:v>0.14206025639502684</c:v>
                  </c:pt>
                  <c:pt idx="13">
                    <c:v>0.12521092371974163</c:v>
                  </c:pt>
                  <c:pt idx="14">
                    <c:v>0.12799445732353032</c:v>
                  </c:pt>
                  <c:pt idx="15">
                    <c:v>9.6856509223703036E-2</c:v>
                  </c:pt>
                  <c:pt idx="16">
                    <c:v>8.7327503448846322E-2</c:v>
                  </c:pt>
                  <c:pt idx="17">
                    <c:v>8.9586660401892892E-2</c:v>
                  </c:pt>
                  <c:pt idx="18">
                    <c:v>7.8072583202049017E-2</c:v>
                  </c:pt>
                  <c:pt idx="19">
                    <c:v>6.2837814741607545E-2</c:v>
                  </c:pt>
                  <c:pt idx="20">
                    <c:v>7.3276930813058527E-2</c:v>
                  </c:pt>
                </c:numCache>
              </c:numRef>
            </c:minus>
            <c:spPr>
              <a:noFill/>
              <a:ln w="9525" cap="flat" cmpd="sng" algn="ctr">
                <a:solidFill>
                  <a:schemeClr val="tx1">
                    <a:lumMod val="65000"/>
                    <a:lumOff val="35000"/>
                  </a:schemeClr>
                </a:solidFill>
                <a:round/>
              </a:ln>
              <a:effectLst/>
            </c:spPr>
          </c:errBars>
          <c:xVal>
            <c:numRef>
              <c:f>'R9.S.Dh.sd'!$D$69:$D$89</c:f>
              <c:numCache>
                <c:formatCode>#,##0.00</c:formatCode>
                <c:ptCount val="21"/>
                <c:pt idx="0">
                  <c:v>0</c:v>
                </c:pt>
                <c:pt idx="1">
                  <c:v>0.01</c:v>
                </c:pt>
                <c:pt idx="2">
                  <c:v>0.02</c:v>
                </c:pt>
                <c:pt idx="3">
                  <c:v>0.03</c:v>
                </c:pt>
                <c:pt idx="4">
                  <c:v>0.04</c:v>
                </c:pt>
                <c:pt idx="5">
                  <c:v>0.05</c:v>
                </c:pt>
                <c:pt idx="6">
                  <c:v>0.06</c:v>
                </c:pt>
                <c:pt idx="7">
                  <c:v>7.0000000000000007E-2</c:v>
                </c:pt>
                <c:pt idx="8">
                  <c:v>0.08</c:v>
                </c:pt>
                <c:pt idx="9">
                  <c:v>0.09</c:v>
                </c:pt>
                <c:pt idx="10">
                  <c:v>0.1</c:v>
                </c:pt>
                <c:pt idx="11">
                  <c:v>0.11</c:v>
                </c:pt>
                <c:pt idx="12">
                  <c:v>0.12</c:v>
                </c:pt>
                <c:pt idx="13">
                  <c:v>0.13</c:v>
                </c:pt>
                <c:pt idx="14">
                  <c:v>0.14000000000000001</c:v>
                </c:pt>
                <c:pt idx="15">
                  <c:v>0.15</c:v>
                </c:pt>
                <c:pt idx="16">
                  <c:v>0.16</c:v>
                </c:pt>
                <c:pt idx="17">
                  <c:v>0.17</c:v>
                </c:pt>
                <c:pt idx="18">
                  <c:v>0.18</c:v>
                </c:pt>
                <c:pt idx="19">
                  <c:v>0.19</c:v>
                </c:pt>
                <c:pt idx="20">
                  <c:v>0.2</c:v>
                </c:pt>
              </c:numCache>
            </c:numRef>
          </c:xVal>
          <c:yVal>
            <c:numRef>
              <c:f>'R9.S.Dh.sd'!$K$69:$K$89</c:f>
              <c:numCache>
                <c:formatCode>#,##0.0000</c:formatCode>
                <c:ptCount val="21"/>
                <c:pt idx="0">
                  <c:v>10.340147979823964</c:v>
                </c:pt>
                <c:pt idx="1">
                  <c:v>10.60314382896718</c:v>
                </c:pt>
                <c:pt idx="2">
                  <c:v>10.439116459481886</c:v>
                </c:pt>
                <c:pt idx="3">
                  <c:v>10.589857562944303</c:v>
                </c:pt>
                <c:pt idx="4">
                  <c:v>10.838093400194623</c:v>
                </c:pt>
                <c:pt idx="5">
                  <c:v>10.71945708501673</c:v>
                </c:pt>
                <c:pt idx="6">
                  <c:v>10.616470866104265</c:v>
                </c:pt>
                <c:pt idx="7">
                  <c:v>10.709218310563495</c:v>
                </c:pt>
                <c:pt idx="8">
                  <c:v>10.605639535281831</c:v>
                </c:pt>
                <c:pt idx="9">
                  <c:v>10.318284852936907</c:v>
                </c:pt>
                <c:pt idx="10">
                  <c:v>9.8800688534074315</c:v>
                </c:pt>
                <c:pt idx="11">
                  <c:v>9.7231070156897097</c:v>
                </c:pt>
                <c:pt idx="12">
                  <c:v>9.311341524482895</c:v>
                </c:pt>
                <c:pt idx="13">
                  <c:v>8.7614835903291421</c:v>
                </c:pt>
                <c:pt idx="14">
                  <c:v>8.018012713803703</c:v>
                </c:pt>
                <c:pt idx="15">
                  <c:v>7.636727150574373</c:v>
                </c:pt>
                <c:pt idx="16">
                  <c:v>7.2227621123754657</c:v>
                </c:pt>
                <c:pt idx="17">
                  <c:v>6.70263225200845</c:v>
                </c:pt>
                <c:pt idx="18">
                  <c:v>6.5156532242930556</c:v>
                </c:pt>
                <c:pt idx="19">
                  <c:v>6.2847036790070545</c:v>
                </c:pt>
                <c:pt idx="20">
                  <c:v>5.8784757211606209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915F-41B2-81C6-4088C41A3CD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78679920"/>
        <c:axId val="802641424"/>
      </c:scatterChart>
      <c:valAx>
        <c:axId val="578679920"/>
        <c:scaling>
          <c:orientation val="minMax"/>
          <c:max val="0.2"/>
          <c:min val="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AU"/>
                  <a:t>Normalised</a:t>
                </a:r>
                <a:r>
                  <a:rPr lang="en-AU" baseline="0"/>
                  <a:t> noise, </a:t>
                </a:r>
                <a:r>
                  <a:rPr lang="en-AU" sz="1000" b="0" i="1" u="none" strike="noStrike" kern="1200" spc="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  <a:cs typeface="Times New Roman" panose="02020603050405020304" pitchFamily="18" charset="0"/>
                  </a:rPr>
                  <a:t>σ</a:t>
                </a:r>
                <a:r>
                  <a:rPr lang="en-AU" baseline="0"/>
                  <a:t> </a:t>
                </a:r>
                <a:endParaRPr lang="en-AU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#,##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02641424"/>
        <c:crosses val="autoZero"/>
        <c:crossBetween val="midCat"/>
        <c:majorUnit val="2.0000000000000004E-2"/>
      </c:valAx>
      <c:valAx>
        <c:axId val="802641424"/>
        <c:scaling>
          <c:orientation val="minMax"/>
          <c:min val="4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AU"/>
                  <a:t>Q</a:t>
                </a:r>
                <a:r>
                  <a:rPr lang="en-AU" baseline="0"/>
                  <a:t>uality score, </a:t>
                </a:r>
                <a:r>
                  <a:rPr lang="en-AU" i="1" baseline="0"/>
                  <a:t>Q</a:t>
                </a:r>
                <a:endParaRPr lang="en-AU" i="1"/>
              </a:p>
            </c:rich>
          </c:tx>
          <c:layout>
            <c:manualLayout>
              <c:xMode val="edge"/>
              <c:yMode val="edge"/>
              <c:x val="1.2630035540302917E-2"/>
              <c:y val="0.3506217297161231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#,##0.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78679920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7715254705504232"/>
          <c:y val="0.34878351652668288"/>
          <c:w val="0.21228217619277828"/>
          <c:h val="0.3436151953612574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6350" cap="flat" cmpd="sng" algn="ctr">
      <a:solidFill>
        <a:schemeClr val="tx1"/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AU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Quality score vs. </a:t>
            </a:r>
            <a:r>
              <a:rPr lang="en-AU" sz="1400" b="0" i="1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cs typeface="Times New Roman" panose="02020603050405020304" pitchFamily="18" charset="0"/>
              </a:rPr>
              <a:t>K</a:t>
            </a:r>
            <a:r>
              <a:rPr lang="en-AU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cs typeface="Times New Roman" panose="02020603050405020304" pitchFamily="18" charset="0"/>
              </a:rPr>
              <a:t> : Dorado R9 'hac'</a:t>
            </a:r>
            <a:endParaRPr lang="en-AU" sz="1400" b="0" i="0" u="none" strike="noStrike" kern="1200" spc="0" baseline="0">
              <a:solidFill>
                <a:sysClr val="windowText" lastClr="000000">
                  <a:lumMod val="65000"/>
                  <a:lumOff val="35000"/>
                </a:sysClr>
              </a:solidFill>
            </a:endParaRPr>
          </a:p>
        </c:rich>
      </c:tx>
      <c:layout>
        <c:manualLayout>
          <c:xMode val="edge"/>
          <c:yMode val="edge"/>
          <c:x val="0.23448124938497378"/>
          <c:y val="3.2615808749468518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1368158226066076"/>
          <c:y val="0.15826550596557501"/>
          <c:w val="0.66061018822016926"/>
          <c:h val="0.65642128030386226"/>
        </c:manualLayout>
      </c:layout>
      <c:scatterChart>
        <c:scatterStyle val="lineMarker"/>
        <c:varyColors val="0"/>
        <c:ser>
          <c:idx val="1"/>
          <c:order val="0"/>
          <c:tx>
            <c:v>Codebook 1</c:v>
          </c:tx>
          <c:spPr>
            <a:ln w="19050" cap="rnd">
              <a:solidFill>
                <a:srgbClr val="FF0000"/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rgbClr val="FF0000"/>
              </a:solidFill>
              <a:ln w="9525">
                <a:solidFill>
                  <a:srgbClr val="FF0000"/>
                </a:solidFill>
              </a:ln>
              <a:effectLst/>
            </c:spPr>
          </c:marker>
          <c:errBars>
            <c:errDir val="x"/>
            <c:errBarType val="both"/>
            <c:errValType val="stdErr"/>
            <c:noEndCap val="0"/>
            <c:spPr>
              <a:noFill/>
              <a:ln w="9525" cap="flat" cmpd="sng" algn="ctr">
                <a:noFill/>
                <a:round/>
              </a:ln>
              <a:effectLst/>
            </c:spPr>
          </c:errBars>
          <c:errBars>
            <c:errDir val="y"/>
            <c:errBarType val="both"/>
            <c:errValType val="cust"/>
            <c:noEndCap val="0"/>
            <c:plus>
              <c:numRef>
                <c:f>'R9.S.Dh.K'!$O$3:$O$18</c:f>
                <c:numCache>
                  <c:formatCode>General</c:formatCode>
                  <c:ptCount val="16"/>
                  <c:pt idx="0">
                    <c:v>7.0233806110493013E-2</c:v>
                  </c:pt>
                  <c:pt idx="1">
                    <c:v>9.6427254734483547E-2</c:v>
                  </c:pt>
                  <c:pt idx="2">
                    <c:v>0.12456801264010497</c:v>
                  </c:pt>
                  <c:pt idx="3">
                    <c:v>0.13965945707174043</c:v>
                  </c:pt>
                  <c:pt idx="4">
                    <c:v>0.16369036975502027</c:v>
                  </c:pt>
                  <c:pt idx="5">
                    <c:v>0.1763503261694197</c:v>
                  </c:pt>
                  <c:pt idx="6">
                    <c:v>0.19206800918571787</c:v>
                  </c:pt>
                  <c:pt idx="7">
                    <c:v>0.19544573093139661</c:v>
                  </c:pt>
                  <c:pt idx="8">
                    <c:v>0.20797266895607436</c:v>
                  </c:pt>
                  <c:pt idx="9">
                    <c:v>0.20605585745028421</c:v>
                  </c:pt>
                  <c:pt idx="10">
                    <c:v>0.22044937689414823</c:v>
                  </c:pt>
                  <c:pt idx="11">
                    <c:v>0.22509685090757436</c:v>
                  </c:pt>
                  <c:pt idx="12">
                    <c:v>0.22803754767614492</c:v>
                  </c:pt>
                  <c:pt idx="13">
                    <c:v>0.24633385617302928</c:v>
                  </c:pt>
                  <c:pt idx="14">
                    <c:v>0.24037478689062119</c:v>
                  </c:pt>
                  <c:pt idx="15">
                    <c:v>0.24191424432962272</c:v>
                  </c:pt>
                </c:numCache>
              </c:numRef>
            </c:plus>
            <c:minus>
              <c:numRef>
                <c:f>'R9.S.Dh.K'!$N$3:$N$18</c:f>
                <c:numCache>
                  <c:formatCode>General</c:formatCode>
                  <c:ptCount val="16"/>
                  <c:pt idx="0">
                    <c:v>6.9116042237209463E-2</c:v>
                  </c:pt>
                  <c:pt idx="1">
                    <c:v>9.4332683502337034E-2</c:v>
                  </c:pt>
                  <c:pt idx="2">
                    <c:v>0.12109444788011814</c:v>
                  </c:pt>
                  <c:pt idx="3">
                    <c:v>0.13530789254657627</c:v>
                  </c:pt>
                  <c:pt idx="4">
                    <c:v>0.15774414114772473</c:v>
                  </c:pt>
                  <c:pt idx="5">
                    <c:v>0.16946797329391661</c:v>
                  </c:pt>
                  <c:pt idx="6">
                    <c:v>0.1839322803547736</c:v>
                  </c:pt>
                  <c:pt idx="7">
                    <c:v>0.18702756214306504</c:v>
                  </c:pt>
                  <c:pt idx="8">
                    <c:v>0.19846685853752355</c:v>
                  </c:pt>
                  <c:pt idx="9">
                    <c:v>0.19672055951474299</c:v>
                  </c:pt>
                  <c:pt idx="10">
                    <c:v>0.20979779228795081</c:v>
                  </c:pt>
                  <c:pt idx="11">
                    <c:v>0.21400263389702268</c:v>
                  </c:pt>
                  <c:pt idx="12">
                    <c:v>0.21665883194148527</c:v>
                  </c:pt>
                  <c:pt idx="13">
                    <c:v>0.2331084796036258</c:v>
                  </c:pt>
                  <c:pt idx="14">
                    <c:v>0.22776530556894947</c:v>
                  </c:pt>
                  <c:pt idx="15">
                    <c:v>0.22914698604523664</c:v>
                  </c:pt>
                </c:numCache>
              </c:numRef>
            </c:minus>
            <c:spPr>
              <a:noFill/>
              <a:ln w="9525" cap="flat" cmpd="sng" algn="ctr">
                <a:solidFill>
                  <a:schemeClr val="tx1">
                    <a:lumMod val="65000"/>
                    <a:lumOff val="35000"/>
                  </a:schemeClr>
                </a:solidFill>
                <a:round/>
              </a:ln>
              <a:effectLst/>
            </c:spPr>
          </c:errBars>
          <c:xVal>
            <c:numRef>
              <c:f>'R9.S.Dh.K'!$E$3:$E$18</c:f>
              <c:numCache>
                <c:formatCode>#,##0</c:formatCode>
                <c:ptCount val="16"/>
                <c:pt idx="0">
                  <c:v>5</c:v>
                </c:pt>
                <c:pt idx="1">
                  <c:v>6</c:v>
                </c:pt>
                <c:pt idx="2">
                  <c:v>7</c:v>
                </c:pt>
                <c:pt idx="3">
                  <c:v>8</c:v>
                </c:pt>
                <c:pt idx="4">
                  <c:v>9</c:v>
                </c:pt>
                <c:pt idx="5">
                  <c:v>10</c:v>
                </c:pt>
                <c:pt idx="6">
                  <c:v>11</c:v>
                </c:pt>
                <c:pt idx="7">
                  <c:v>12</c:v>
                </c:pt>
                <c:pt idx="8">
                  <c:v>13</c:v>
                </c:pt>
                <c:pt idx="9">
                  <c:v>14</c:v>
                </c:pt>
                <c:pt idx="10">
                  <c:v>15</c:v>
                </c:pt>
                <c:pt idx="11">
                  <c:v>16</c:v>
                </c:pt>
                <c:pt idx="12">
                  <c:v>17</c:v>
                </c:pt>
                <c:pt idx="13">
                  <c:v>18</c:v>
                </c:pt>
                <c:pt idx="14">
                  <c:v>19</c:v>
                </c:pt>
                <c:pt idx="15">
                  <c:v>20</c:v>
                </c:pt>
              </c:numCache>
            </c:numRef>
          </c:xVal>
          <c:yVal>
            <c:numRef>
              <c:f>'R9.S.Dh.K'!$K$3:$K$18</c:f>
              <c:numCache>
                <c:formatCode>#,##0.0000</c:formatCode>
                <c:ptCount val="16"/>
                <c:pt idx="0">
                  <c:v>4.7323008848275192</c:v>
                </c:pt>
                <c:pt idx="1">
                  <c:v>5.8031955705474081</c:v>
                </c:pt>
                <c:pt idx="2">
                  <c:v>6.5547673717744539</c:v>
                </c:pt>
                <c:pt idx="3">
                  <c:v>7.2174192973372566</c:v>
                </c:pt>
                <c:pt idx="4">
                  <c:v>7.3766758617737374</c:v>
                </c:pt>
                <c:pt idx="5">
                  <c:v>7.7546693739391426</c:v>
                </c:pt>
                <c:pt idx="6">
                  <c:v>7.8776799147741006</c:v>
                </c:pt>
                <c:pt idx="7">
                  <c:v>8.2526198547271363</c:v>
                </c:pt>
                <c:pt idx="8">
                  <c:v>8.401822474321909</c:v>
                </c:pt>
                <c:pt idx="9">
                  <c:v>8.2686231310597158</c:v>
                </c:pt>
                <c:pt idx="10">
                  <c:v>8.5834123021344766</c:v>
                </c:pt>
                <c:pt idx="11">
                  <c:v>8.4108493836621552</c:v>
                </c:pt>
                <c:pt idx="12">
                  <c:v>8.5459639231609419</c:v>
                </c:pt>
                <c:pt idx="13">
                  <c:v>8.965954205903321</c:v>
                </c:pt>
                <c:pt idx="14">
                  <c:v>8.8516669967292696</c:v>
                </c:pt>
                <c:pt idx="15">
                  <c:v>8.828392259078564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09ED-4B89-9C3C-1C1183AC9B9F}"/>
            </c:ext>
          </c:extLst>
        </c:ser>
        <c:ser>
          <c:idx val="0"/>
          <c:order val="1"/>
          <c:tx>
            <c:v>Codebook 2</c:v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errBars>
            <c:errDir val="x"/>
            <c:errBarType val="both"/>
            <c:errValType val="stdErr"/>
            <c:noEndCap val="0"/>
            <c:spPr>
              <a:noFill/>
              <a:ln w="9525" cap="flat" cmpd="sng" algn="ctr">
                <a:noFill/>
                <a:round/>
              </a:ln>
              <a:effectLst/>
            </c:spPr>
          </c:errBars>
          <c:errBars>
            <c:errDir val="y"/>
            <c:errBarType val="both"/>
            <c:errValType val="cust"/>
            <c:noEndCap val="0"/>
            <c:plus>
              <c:numRef>
                <c:f>'R9.S.Dh.K'!$O$20:$O$35</c:f>
                <c:numCache>
                  <c:formatCode>General</c:formatCode>
                  <c:ptCount val="16"/>
                  <c:pt idx="0">
                    <c:v>3.9457806627295255E-2</c:v>
                  </c:pt>
                  <c:pt idx="1">
                    <c:v>4.2574984568416241E-2</c:v>
                  </c:pt>
                  <c:pt idx="2">
                    <c:v>5.3372882872207761E-2</c:v>
                  </c:pt>
                  <c:pt idx="3">
                    <c:v>5.6142260448455161E-2</c:v>
                  </c:pt>
                  <c:pt idx="4">
                    <c:v>5.4635794216983058E-2</c:v>
                  </c:pt>
                  <c:pt idx="5">
                    <c:v>5.4186530122143139E-2</c:v>
                  </c:pt>
                  <c:pt idx="6">
                    <c:v>6.1702800777169386E-2</c:v>
                  </c:pt>
                  <c:pt idx="7">
                    <c:v>5.7457938294746214E-2</c:v>
                  </c:pt>
                  <c:pt idx="8">
                    <c:v>6.4992218753797459E-2</c:v>
                  </c:pt>
                  <c:pt idx="9">
                    <c:v>6.9761247500270684E-2</c:v>
                  </c:pt>
                  <c:pt idx="10">
                    <c:v>6.0260825313058319E-2</c:v>
                  </c:pt>
                  <c:pt idx="11">
                    <c:v>8.1878789333570623E-2</c:v>
                  </c:pt>
                  <c:pt idx="12">
                    <c:v>6.5556244321486545E-2</c:v>
                  </c:pt>
                  <c:pt idx="13">
                    <c:v>7.9555911447901195E-2</c:v>
                  </c:pt>
                  <c:pt idx="14">
                    <c:v>8.2592988300531189E-2</c:v>
                  </c:pt>
                  <c:pt idx="15">
                    <c:v>6.716092215695646E-2</c:v>
                  </c:pt>
                </c:numCache>
              </c:numRef>
            </c:plus>
            <c:minus>
              <c:numRef>
                <c:f>'R9.S.Dh.K'!$N$20:$N$35</c:f>
                <c:numCache>
                  <c:formatCode>General</c:formatCode>
                  <c:ptCount val="16"/>
                  <c:pt idx="0">
                    <c:v>3.9102538260901376E-2</c:v>
                  </c:pt>
                  <c:pt idx="1">
                    <c:v>4.2161659893477754E-2</c:v>
                  </c:pt>
                  <c:pt idx="2">
                    <c:v>5.2724908861285336E-2</c:v>
                  </c:pt>
                  <c:pt idx="3">
                    <c:v>5.5425749014887948E-2</c:v>
                  </c:pt>
                  <c:pt idx="4">
                    <c:v>5.3956987238851895E-2</c:v>
                  </c:pt>
                  <c:pt idx="5">
                    <c:v>5.3518772675047899E-2</c:v>
                  </c:pt>
                  <c:pt idx="6">
                    <c:v>6.0838418830250873E-2</c:v>
                  </c:pt>
                  <c:pt idx="7">
                    <c:v>5.670767479342409E-2</c:v>
                  </c:pt>
                  <c:pt idx="8">
                    <c:v>6.4033932601768484E-2</c:v>
                  </c:pt>
                  <c:pt idx="9">
                    <c:v>6.8658356679991428E-2</c:v>
                  </c:pt>
                  <c:pt idx="10">
                    <c:v>5.9436102590586515E-2</c:v>
                  </c:pt>
                  <c:pt idx="11">
                    <c:v>8.0363626688225054E-2</c:v>
                  </c:pt>
                  <c:pt idx="12">
                    <c:v>6.4581377739290957E-2</c:v>
                  </c:pt>
                  <c:pt idx="13">
                    <c:v>7.8124749734234555E-2</c:v>
                  </c:pt>
                  <c:pt idx="14">
                    <c:v>8.1051525994057627E-2</c:v>
                  </c:pt>
                  <c:pt idx="15">
                    <c:v>6.613811751135934E-2</c:v>
                  </c:pt>
                </c:numCache>
              </c:numRef>
            </c:minus>
            <c:spPr>
              <a:noFill/>
              <a:ln w="9525" cap="flat" cmpd="sng" algn="ctr">
                <a:solidFill>
                  <a:schemeClr val="tx1">
                    <a:lumMod val="65000"/>
                    <a:lumOff val="35000"/>
                  </a:schemeClr>
                </a:solidFill>
                <a:round/>
              </a:ln>
              <a:effectLst/>
            </c:spPr>
          </c:errBars>
          <c:xVal>
            <c:numRef>
              <c:f>'R9.S.Dh.K'!$E$20:$E$35</c:f>
              <c:numCache>
                <c:formatCode>#,##0</c:formatCode>
                <c:ptCount val="16"/>
                <c:pt idx="0">
                  <c:v>5</c:v>
                </c:pt>
                <c:pt idx="1">
                  <c:v>6</c:v>
                </c:pt>
                <c:pt idx="2">
                  <c:v>7</c:v>
                </c:pt>
                <c:pt idx="3">
                  <c:v>8</c:v>
                </c:pt>
                <c:pt idx="4">
                  <c:v>9</c:v>
                </c:pt>
                <c:pt idx="5">
                  <c:v>10</c:v>
                </c:pt>
                <c:pt idx="6">
                  <c:v>11</c:v>
                </c:pt>
                <c:pt idx="7">
                  <c:v>12</c:v>
                </c:pt>
                <c:pt idx="8">
                  <c:v>13</c:v>
                </c:pt>
                <c:pt idx="9">
                  <c:v>14</c:v>
                </c:pt>
                <c:pt idx="10">
                  <c:v>15</c:v>
                </c:pt>
                <c:pt idx="11">
                  <c:v>16</c:v>
                </c:pt>
                <c:pt idx="12">
                  <c:v>17</c:v>
                </c:pt>
                <c:pt idx="13">
                  <c:v>18</c:v>
                </c:pt>
                <c:pt idx="14">
                  <c:v>19</c:v>
                </c:pt>
                <c:pt idx="15">
                  <c:v>20</c:v>
                </c:pt>
              </c:numCache>
            </c:numRef>
          </c:xVal>
          <c:yVal>
            <c:numRef>
              <c:f>'R9.S.Dh.K'!$K$20:$K$35</c:f>
              <c:numCache>
                <c:formatCode>#,##0.0000</c:formatCode>
                <c:ptCount val="16"/>
                <c:pt idx="0">
                  <c:v>4.5839995700732405</c:v>
                </c:pt>
                <c:pt idx="1">
                  <c:v>5.8953208317579495</c:v>
                </c:pt>
                <c:pt idx="2">
                  <c:v>6.8912974958863753</c:v>
                </c:pt>
                <c:pt idx="3">
                  <c:v>7.6785129374383168</c:v>
                </c:pt>
                <c:pt idx="4">
                  <c:v>8.3858208172774198</c:v>
                </c:pt>
                <c:pt idx="5">
                  <c:v>8.9802392816701868</c:v>
                </c:pt>
                <c:pt idx="6">
                  <c:v>9.2689290166456839</c:v>
                </c:pt>
                <c:pt idx="7">
                  <c:v>9.681877286696297</c:v>
                </c:pt>
                <c:pt idx="8">
                  <c:v>9.9725814169656459</c:v>
                </c:pt>
                <c:pt idx="9">
                  <c:v>10.188612173593397</c:v>
                </c:pt>
                <c:pt idx="10">
                  <c:v>10.38420721818926</c:v>
                </c:pt>
                <c:pt idx="11">
                  <c:v>10.571655062299046</c:v>
                </c:pt>
                <c:pt idx="12">
                  <c:v>10.917831469106074</c:v>
                </c:pt>
                <c:pt idx="13">
                  <c:v>11.080910329105095</c:v>
                </c:pt>
                <c:pt idx="14">
                  <c:v>11.129456219490431</c:v>
                </c:pt>
                <c:pt idx="15">
                  <c:v>11.40061528399138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09ED-4B89-9C3C-1C1183AC9B9F}"/>
            </c:ext>
          </c:extLst>
        </c:ser>
        <c:ser>
          <c:idx val="2"/>
          <c:order val="2"/>
          <c:tx>
            <c:v>Codebook 3</c:v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errBars>
            <c:errDir val="x"/>
            <c:errBarType val="both"/>
            <c:errValType val="stdErr"/>
            <c:noEndCap val="0"/>
            <c:spPr>
              <a:noFill/>
              <a:ln w="9525" cap="flat" cmpd="sng" algn="ctr">
                <a:noFill/>
                <a:round/>
              </a:ln>
              <a:effectLst/>
            </c:spPr>
          </c:errBars>
          <c:errBars>
            <c:errDir val="y"/>
            <c:errBarType val="both"/>
            <c:errValType val="cust"/>
            <c:noEndCap val="0"/>
            <c:plus>
              <c:numRef>
                <c:f>'R9.S.Dh.K'!$O$37:$O$52</c:f>
                <c:numCache>
                  <c:formatCode>General</c:formatCode>
                  <c:ptCount val="16"/>
                  <c:pt idx="0">
                    <c:v>2.995263354504818E-2</c:v>
                  </c:pt>
                  <c:pt idx="1">
                    <c:v>3.717861560361424E-2</c:v>
                  </c:pt>
                  <c:pt idx="2">
                    <c:v>4.457751491291706E-2</c:v>
                  </c:pt>
                  <c:pt idx="3">
                    <c:v>5.0424989993426372E-2</c:v>
                  </c:pt>
                  <c:pt idx="4">
                    <c:v>5.2209769761191183E-2</c:v>
                  </c:pt>
                  <c:pt idx="5">
                    <c:v>5.4036948235113513E-2</c:v>
                  </c:pt>
                  <c:pt idx="6">
                    <c:v>5.5764630018879657E-2</c:v>
                  </c:pt>
                  <c:pt idx="7">
                    <c:v>5.7542813835933515E-2</c:v>
                  </c:pt>
                  <c:pt idx="8">
                    <c:v>6.222102993223011E-2</c:v>
                  </c:pt>
                  <c:pt idx="9">
                    <c:v>6.1668079723775193E-2</c:v>
                  </c:pt>
                  <c:pt idx="10">
                    <c:v>6.3538024424401485E-2</c:v>
                  </c:pt>
                  <c:pt idx="11">
                    <c:v>6.6032781843311739E-2</c:v>
                  </c:pt>
                  <c:pt idx="12">
                    <c:v>7.0913010453118375E-2</c:v>
                  </c:pt>
                  <c:pt idx="13">
                    <c:v>6.8191329480097096E-2</c:v>
                  </c:pt>
                  <c:pt idx="14">
                    <c:v>7.1928380988749652E-2</c:v>
                  </c:pt>
                  <c:pt idx="15">
                    <c:v>7.3074648196215009E-2</c:v>
                  </c:pt>
                </c:numCache>
              </c:numRef>
            </c:plus>
            <c:minus>
              <c:numRef>
                <c:f>'R9.S.Dh.K'!$N$37:$N$52</c:f>
                <c:numCache>
                  <c:formatCode>General</c:formatCode>
                  <c:ptCount val="16"/>
                  <c:pt idx="0">
                    <c:v>2.9747468943384092E-2</c:v>
                  </c:pt>
                  <c:pt idx="1">
                    <c:v>3.6863040534163893E-2</c:v>
                  </c:pt>
                  <c:pt idx="2">
                    <c:v>4.4124600539243275E-2</c:v>
                  </c:pt>
                  <c:pt idx="3">
                    <c:v>4.9846229807172016E-2</c:v>
                  </c:pt>
                  <c:pt idx="4">
                    <c:v>5.1589565839520901E-2</c:v>
                  </c:pt>
                  <c:pt idx="5">
                    <c:v>5.3372849842034498E-2</c:v>
                  </c:pt>
                  <c:pt idx="6">
                    <c:v>5.5057664567698339E-2</c:v>
                  </c:pt>
                  <c:pt idx="7">
                    <c:v>5.6790346636107714E-2</c:v>
                  </c:pt>
                  <c:pt idx="8">
                    <c:v>6.1342170642259219E-2</c:v>
                  </c:pt>
                  <c:pt idx="9">
                    <c:v>6.0804663512966428E-2</c:v>
                  </c:pt>
                  <c:pt idx="10">
                    <c:v>6.2621840102645265E-2</c:v>
                  </c:pt>
                  <c:pt idx="11">
                    <c:v>6.504379750777467E-2</c:v>
                  </c:pt>
                  <c:pt idx="12">
                    <c:v>6.97736979941741E-2</c:v>
                  </c:pt>
                  <c:pt idx="13">
                    <c:v>6.7137145282330835E-2</c:v>
                  </c:pt>
                  <c:pt idx="14">
                    <c:v>7.0756477244367844E-2</c:v>
                  </c:pt>
                  <c:pt idx="15">
                    <c:v>7.1865408495357386E-2</c:v>
                  </c:pt>
                </c:numCache>
              </c:numRef>
            </c:minus>
            <c:spPr>
              <a:noFill/>
              <a:ln w="9525" cap="flat" cmpd="sng" algn="ctr">
                <a:solidFill>
                  <a:schemeClr val="tx1">
                    <a:lumMod val="65000"/>
                    <a:lumOff val="35000"/>
                  </a:schemeClr>
                </a:solidFill>
                <a:round/>
              </a:ln>
              <a:effectLst/>
            </c:spPr>
          </c:errBars>
          <c:xVal>
            <c:numRef>
              <c:f>'R9.S.Dh.K'!$E$37:$E$52</c:f>
              <c:numCache>
                <c:formatCode>#,##0</c:formatCode>
                <c:ptCount val="16"/>
                <c:pt idx="0">
                  <c:v>5</c:v>
                </c:pt>
                <c:pt idx="1">
                  <c:v>6</c:v>
                </c:pt>
                <c:pt idx="2">
                  <c:v>7</c:v>
                </c:pt>
                <c:pt idx="3">
                  <c:v>8</c:v>
                </c:pt>
                <c:pt idx="4">
                  <c:v>9</c:v>
                </c:pt>
                <c:pt idx="5">
                  <c:v>10</c:v>
                </c:pt>
                <c:pt idx="6">
                  <c:v>11</c:v>
                </c:pt>
                <c:pt idx="7">
                  <c:v>12</c:v>
                </c:pt>
                <c:pt idx="8">
                  <c:v>13</c:v>
                </c:pt>
                <c:pt idx="9">
                  <c:v>14</c:v>
                </c:pt>
                <c:pt idx="10">
                  <c:v>15</c:v>
                </c:pt>
                <c:pt idx="11">
                  <c:v>16</c:v>
                </c:pt>
                <c:pt idx="12">
                  <c:v>17</c:v>
                </c:pt>
                <c:pt idx="13">
                  <c:v>18</c:v>
                </c:pt>
                <c:pt idx="14">
                  <c:v>19</c:v>
                </c:pt>
                <c:pt idx="15">
                  <c:v>20</c:v>
                </c:pt>
              </c:numCache>
            </c:numRef>
          </c:xVal>
          <c:yVal>
            <c:numRef>
              <c:f>'R9.S.Dh.K'!$K$37:$K$52</c:f>
              <c:numCache>
                <c:formatCode>#,##0.0000</c:formatCode>
                <c:ptCount val="16"/>
                <c:pt idx="0">
                  <c:v>4.9446566024248764</c:v>
                </c:pt>
                <c:pt idx="1">
                  <c:v>6.1660357725791615</c:v>
                </c:pt>
                <c:pt idx="2">
                  <c:v>7.06526951843892</c:v>
                </c:pt>
                <c:pt idx="3">
                  <c:v>7.6674999045889969</c:v>
                </c:pt>
                <c:pt idx="4">
                  <c:v>8.1210342930718973</c:v>
                </c:pt>
                <c:pt idx="5">
                  <c:v>8.5047298624565215</c:v>
                </c:pt>
                <c:pt idx="6">
                  <c:v>8.7816668783425254</c:v>
                </c:pt>
                <c:pt idx="7">
                  <c:v>9.0739630549350352</c:v>
                </c:pt>
                <c:pt idx="8">
                  <c:v>9.262205717433762</c:v>
                </c:pt>
                <c:pt idx="9">
                  <c:v>9.4252408417374607</c:v>
                </c:pt>
                <c:pt idx="10">
                  <c:v>9.5317978925995028</c:v>
                </c:pt>
                <c:pt idx="11">
                  <c:v>9.6812046397780414</c:v>
                </c:pt>
                <c:pt idx="12">
                  <c:v>9.9884342280005782</c:v>
                </c:pt>
                <c:pt idx="13">
                  <c:v>10.20072428134031</c:v>
                </c:pt>
                <c:pt idx="14">
                  <c:v>10.421533662918499</c:v>
                </c:pt>
                <c:pt idx="15">
                  <c:v>10.55024091587952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09ED-4B89-9C3C-1C1183AC9B9F}"/>
            </c:ext>
          </c:extLst>
        </c:ser>
        <c:ser>
          <c:idx val="3"/>
          <c:order val="3"/>
          <c:tx>
            <c:v>Codebook 4</c:v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errBars>
            <c:errDir val="x"/>
            <c:errBarType val="both"/>
            <c:errValType val="stdErr"/>
            <c:noEndCap val="0"/>
            <c:spPr>
              <a:noFill/>
              <a:ln w="9525" cap="flat" cmpd="sng" algn="ctr">
                <a:noFill/>
                <a:round/>
              </a:ln>
              <a:effectLst/>
            </c:spPr>
          </c:errBars>
          <c:errBars>
            <c:errDir val="y"/>
            <c:errBarType val="both"/>
            <c:errValType val="cust"/>
            <c:noEndCap val="0"/>
            <c:plus>
              <c:numRef>
                <c:f>'R9.S.Dh.K'!$O$54:$O$69</c:f>
                <c:numCache>
                  <c:formatCode>General</c:formatCode>
                  <c:ptCount val="16"/>
                  <c:pt idx="0">
                    <c:v>4.3547045051778532E-2</c:v>
                  </c:pt>
                  <c:pt idx="1">
                    <c:v>6.9181490899062226E-2</c:v>
                  </c:pt>
                  <c:pt idx="2">
                    <c:v>9.8706477379716162E-2</c:v>
                  </c:pt>
                  <c:pt idx="3">
                    <c:v>0.12354844186214109</c:v>
                  </c:pt>
                  <c:pt idx="4">
                    <c:v>0.14299902262401787</c:v>
                  </c:pt>
                  <c:pt idx="5">
                    <c:v>0.17761824664398063</c:v>
                  </c:pt>
                  <c:pt idx="6">
                    <c:v>0.19536978035140251</c:v>
                  </c:pt>
                  <c:pt idx="7">
                    <c:v>0.20620646311569324</c:v>
                  </c:pt>
                  <c:pt idx="8">
                    <c:v>0.21228724450111969</c:v>
                  </c:pt>
                  <c:pt idx="9">
                    <c:v>0.22516134239830699</c:v>
                  </c:pt>
                  <c:pt idx="10">
                    <c:v>0.23502060630471355</c:v>
                  </c:pt>
                  <c:pt idx="11">
                    <c:v>0.25311229736237273</c:v>
                  </c:pt>
                  <c:pt idx="12">
                    <c:v>0.26351633410774156</c:v>
                  </c:pt>
                  <c:pt idx="13">
                    <c:v>0.27471263813547964</c:v>
                  </c:pt>
                  <c:pt idx="14">
                    <c:v>0.30681035662599498</c:v>
                  </c:pt>
                  <c:pt idx="15">
                    <c:v>0.30579840819187254</c:v>
                  </c:pt>
                </c:numCache>
              </c:numRef>
            </c:plus>
            <c:minus>
              <c:numRef>
                <c:f>'R9.S.Dh.K'!$N$54:$N$69</c:f>
                <c:numCache>
                  <c:formatCode>General</c:formatCode>
                  <c:ptCount val="16"/>
                  <c:pt idx="0">
                    <c:v>4.3114726751364074E-2</c:v>
                  </c:pt>
                  <c:pt idx="1">
                    <c:v>6.8096713083228622E-2</c:v>
                  </c:pt>
                  <c:pt idx="2">
                    <c:v>9.6512840598480309E-2</c:v>
                  </c:pt>
                  <c:pt idx="3">
                    <c:v>0.12013072915343415</c:v>
                  </c:pt>
                  <c:pt idx="4">
                    <c:v>0.13844023793402194</c:v>
                  </c:pt>
                  <c:pt idx="5">
                    <c:v>0.17063851869207269</c:v>
                  </c:pt>
                  <c:pt idx="6">
                    <c:v>0.18695801311897142</c:v>
                  </c:pt>
                  <c:pt idx="7">
                    <c:v>0.19685782118339468</c:v>
                  </c:pt>
                  <c:pt idx="8">
                    <c:v>0.20239224237469955</c:v>
                  </c:pt>
                  <c:pt idx="9">
                    <c:v>0.21406092285993594</c:v>
                  </c:pt>
                  <c:pt idx="10">
                    <c:v>0.22295262148753281</c:v>
                  </c:pt>
                  <c:pt idx="11">
                    <c:v>0.23916947056085114</c:v>
                  </c:pt>
                  <c:pt idx="12">
                    <c:v>0.24843755785850874</c:v>
                  </c:pt>
                  <c:pt idx="13">
                    <c:v>0.25836467503950189</c:v>
                  </c:pt>
                  <c:pt idx="14">
                    <c:v>0.28655837588968147</c:v>
                  </c:pt>
                  <c:pt idx="15">
                    <c:v>0.28567546626200979</c:v>
                  </c:pt>
                </c:numCache>
              </c:numRef>
            </c:minus>
            <c:spPr>
              <a:noFill/>
              <a:ln w="9525" cap="flat" cmpd="sng" algn="ctr">
                <a:solidFill>
                  <a:schemeClr val="tx1">
                    <a:lumMod val="65000"/>
                    <a:lumOff val="35000"/>
                  </a:schemeClr>
                </a:solidFill>
                <a:round/>
              </a:ln>
              <a:effectLst/>
            </c:spPr>
          </c:errBars>
          <c:xVal>
            <c:numRef>
              <c:f>'R9.S.Dh.K'!$E$54:$E$69</c:f>
              <c:numCache>
                <c:formatCode>#,##0</c:formatCode>
                <c:ptCount val="16"/>
                <c:pt idx="0">
                  <c:v>5</c:v>
                </c:pt>
                <c:pt idx="1">
                  <c:v>6</c:v>
                </c:pt>
                <c:pt idx="2">
                  <c:v>7</c:v>
                </c:pt>
                <c:pt idx="3">
                  <c:v>8</c:v>
                </c:pt>
                <c:pt idx="4">
                  <c:v>9</c:v>
                </c:pt>
                <c:pt idx="5">
                  <c:v>10</c:v>
                </c:pt>
                <c:pt idx="6">
                  <c:v>11</c:v>
                </c:pt>
                <c:pt idx="7">
                  <c:v>12</c:v>
                </c:pt>
                <c:pt idx="8">
                  <c:v>13</c:v>
                </c:pt>
                <c:pt idx="9">
                  <c:v>14</c:v>
                </c:pt>
                <c:pt idx="10">
                  <c:v>15</c:v>
                </c:pt>
                <c:pt idx="11">
                  <c:v>16</c:v>
                </c:pt>
                <c:pt idx="12">
                  <c:v>17</c:v>
                </c:pt>
                <c:pt idx="13">
                  <c:v>18</c:v>
                </c:pt>
                <c:pt idx="14">
                  <c:v>19</c:v>
                </c:pt>
                <c:pt idx="15">
                  <c:v>20</c:v>
                </c:pt>
              </c:numCache>
            </c:numRef>
          </c:xVal>
          <c:yVal>
            <c:numRef>
              <c:f>'R9.S.Dh.K'!$K$54:$K$69</c:f>
              <c:numCache>
                <c:formatCode>#,##0.0000</c:formatCode>
                <c:ptCount val="16"/>
                <c:pt idx="0">
                  <c:v>5.7479194886134364</c:v>
                </c:pt>
                <c:pt idx="1">
                  <c:v>7.1703819646566478</c:v>
                </c:pt>
                <c:pt idx="2">
                  <c:v>8.22319240151222</c:v>
                </c:pt>
                <c:pt idx="3">
                  <c:v>8.9899800419939755</c:v>
                </c:pt>
                <c:pt idx="4">
                  <c:v>9.6330458177918032</c:v>
                </c:pt>
                <c:pt idx="5">
                  <c:v>9.9790596651829091</c:v>
                </c:pt>
                <c:pt idx="6">
                  <c:v>10.206033969143997</c:v>
                </c:pt>
                <c:pt idx="7">
                  <c:v>10.438315695246366</c:v>
                </c:pt>
                <c:pt idx="8">
                  <c:v>10.711775742074654</c:v>
                </c:pt>
                <c:pt idx="9">
                  <c:v>10.69050968832477</c:v>
                </c:pt>
                <c:pt idx="10">
                  <c:v>10.817948616503115</c:v>
                </c:pt>
                <c:pt idx="11">
                  <c:v>11.0164054010109</c:v>
                </c:pt>
                <c:pt idx="12">
                  <c:v>11.223407558883913</c:v>
                </c:pt>
                <c:pt idx="13">
                  <c:v>11.493537648169333</c:v>
                </c:pt>
                <c:pt idx="14">
                  <c:v>11.308661053582769</c:v>
                </c:pt>
                <c:pt idx="15">
                  <c:v>11.456939581989193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09ED-4B89-9C3C-1C1183AC9B9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78679920"/>
        <c:axId val="802641424"/>
      </c:scatterChart>
      <c:valAx>
        <c:axId val="578679920"/>
        <c:scaling>
          <c:orientation val="minMax"/>
          <c:max val="21"/>
          <c:min val="4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AU"/>
                  <a:t>Mean dwell time, </a:t>
                </a:r>
                <a:r>
                  <a:rPr lang="en-AU" i="1"/>
                  <a:t>K</a:t>
                </a:r>
                <a:endParaRPr lang="en-AU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#,##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02641424"/>
        <c:crosses val="autoZero"/>
        <c:crossBetween val="midCat"/>
        <c:majorUnit val="2"/>
        <c:minorUnit val="1"/>
      </c:valAx>
      <c:valAx>
        <c:axId val="802641424"/>
        <c:scaling>
          <c:orientation val="minMax"/>
          <c:min val="2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AU"/>
                  <a:t>Q</a:t>
                </a:r>
                <a:r>
                  <a:rPr lang="en-AU" baseline="0"/>
                  <a:t>uality score, </a:t>
                </a:r>
                <a:r>
                  <a:rPr lang="en-AU" i="1" baseline="0"/>
                  <a:t>Q</a:t>
                </a:r>
                <a:endParaRPr lang="en-AU" i="1"/>
              </a:p>
            </c:rich>
          </c:tx>
          <c:layout>
            <c:manualLayout>
              <c:xMode val="edge"/>
              <c:yMode val="edge"/>
              <c:x val="1.2630035540302917E-2"/>
              <c:y val="0.3506217297161231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#,##0.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78679920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7715254705504232"/>
          <c:y val="0.34878351652668288"/>
          <c:w val="0.21228217619277828"/>
          <c:h val="0.3436151953612574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6350" cap="flat" cmpd="sng" algn="ctr">
      <a:solidFill>
        <a:schemeClr val="tx1"/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AU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Quality score vs. </a:t>
            </a:r>
            <a:r>
              <a:rPr lang="en-AU" sz="1400" b="0" i="1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cs typeface="Times New Roman" panose="02020603050405020304" pitchFamily="18" charset="0"/>
              </a:rPr>
              <a:t>σ</a:t>
            </a:r>
            <a:r>
              <a:rPr lang="en-AU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cs typeface="Times New Roman" panose="02020603050405020304" pitchFamily="18" charset="0"/>
              </a:rPr>
              <a:t> : Dorado R9 'sup'</a:t>
            </a:r>
            <a:endParaRPr lang="en-AU" sz="1400" b="0" i="0" u="none" strike="noStrike" kern="1200" spc="0" baseline="0">
              <a:solidFill>
                <a:sysClr val="windowText" lastClr="000000">
                  <a:lumMod val="65000"/>
                  <a:lumOff val="35000"/>
                </a:sysClr>
              </a:solidFill>
            </a:endParaRPr>
          </a:p>
        </c:rich>
      </c:tx>
      <c:layout>
        <c:manualLayout>
          <c:xMode val="edge"/>
          <c:yMode val="edge"/>
          <c:x val="0.2371309731511505"/>
          <c:y val="3.2615699591851961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1368158226066076"/>
          <c:y val="0.15826550596557501"/>
          <c:w val="0.66061018822016926"/>
          <c:h val="0.65642128030386226"/>
        </c:manualLayout>
      </c:layout>
      <c:scatterChart>
        <c:scatterStyle val="lineMarker"/>
        <c:varyColors val="0"/>
        <c:ser>
          <c:idx val="1"/>
          <c:order val="0"/>
          <c:tx>
            <c:v>Codebook 1</c:v>
          </c:tx>
          <c:spPr>
            <a:ln w="19050" cap="rnd">
              <a:solidFill>
                <a:srgbClr val="FF0000"/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rgbClr val="FF0000"/>
              </a:solidFill>
              <a:ln w="9525">
                <a:solidFill>
                  <a:srgbClr val="FF0000"/>
                </a:solidFill>
              </a:ln>
              <a:effectLst/>
            </c:spPr>
          </c:marker>
          <c:errBars>
            <c:errDir val="x"/>
            <c:errBarType val="both"/>
            <c:errValType val="stdErr"/>
            <c:noEndCap val="0"/>
            <c:spPr>
              <a:noFill/>
              <a:ln w="9525" cap="flat" cmpd="sng" algn="ctr">
                <a:noFill/>
                <a:round/>
              </a:ln>
              <a:effectLst/>
            </c:spPr>
          </c:errBars>
          <c:errBars>
            <c:errDir val="y"/>
            <c:errBarType val="both"/>
            <c:errValType val="cust"/>
            <c:noEndCap val="0"/>
            <c:plus>
              <c:numRef>
                <c:f>'R9.S.Ds.sd'!$O$3:$O$23</c:f>
                <c:numCache>
                  <c:formatCode>General</c:formatCode>
                  <c:ptCount val="21"/>
                  <c:pt idx="0">
                    <c:v>0.17671110266034074</c:v>
                  </c:pt>
                  <c:pt idx="1">
                    <c:v>0.17156257140799624</c:v>
                  </c:pt>
                  <c:pt idx="2">
                    <c:v>0.17726424764061655</c:v>
                  </c:pt>
                  <c:pt idx="3">
                    <c:v>0.18981681630103253</c:v>
                  </c:pt>
                  <c:pt idx="4">
                    <c:v>0.20404431679256874</c:v>
                  </c:pt>
                  <c:pt idx="5">
                    <c:v>0.2174179964736922</c:v>
                  </c:pt>
                  <c:pt idx="6">
                    <c:v>0.21379858100016236</c:v>
                  </c:pt>
                  <c:pt idx="7">
                    <c:v>0.21717489160414871</c:v>
                  </c:pt>
                  <c:pt idx="8">
                    <c:v>0.20643229959592624</c:v>
                  </c:pt>
                  <c:pt idx="9">
                    <c:v>0.20653555582288874</c:v>
                  </c:pt>
                  <c:pt idx="10">
                    <c:v>0.19929521070531742</c:v>
                  </c:pt>
                  <c:pt idx="11">
                    <c:v>0.19678298475160627</c:v>
                  </c:pt>
                  <c:pt idx="12">
                    <c:v>0.18196832296942222</c:v>
                  </c:pt>
                  <c:pt idx="13">
                    <c:v>0.16887139712182808</c:v>
                  </c:pt>
                  <c:pt idx="14">
                    <c:v>0.15629731333807584</c:v>
                  </c:pt>
                  <c:pt idx="15">
                    <c:v>0.14223469136671429</c:v>
                  </c:pt>
                  <c:pt idx="16">
                    <c:v>0.12796681589417247</c:v>
                  </c:pt>
                  <c:pt idx="17">
                    <c:v>0.11364765965379053</c:v>
                  </c:pt>
                  <c:pt idx="18">
                    <c:v>9.803389947077612E-2</c:v>
                  </c:pt>
                  <c:pt idx="19">
                    <c:v>8.1707565023684481E-2</c:v>
                  </c:pt>
                  <c:pt idx="20">
                    <c:v>7.0874907227751471E-2</c:v>
                  </c:pt>
                </c:numCache>
              </c:numRef>
            </c:plus>
            <c:minus>
              <c:numRef>
                <c:f>'R9.S.Ds.sd'!$N$3:$N$23</c:f>
                <c:numCache>
                  <c:formatCode>General</c:formatCode>
                  <c:ptCount val="21"/>
                  <c:pt idx="0">
                    <c:v>0.16980110939956194</c:v>
                  </c:pt>
                  <c:pt idx="1">
                    <c:v>0.16504197993941716</c:v>
                  </c:pt>
                  <c:pt idx="2">
                    <c:v>0.17031177260150265</c:v>
                  </c:pt>
                  <c:pt idx="3">
                    <c:v>0.18186676458690165</c:v>
                  </c:pt>
                  <c:pt idx="4">
                    <c:v>0.19488637315098245</c:v>
                  </c:pt>
                  <c:pt idx="5">
                    <c:v>0.20705050131326708</c:v>
                  </c:pt>
                  <c:pt idx="6">
                    <c:v>0.20376549043175629</c:v>
                  </c:pt>
                  <c:pt idx="7">
                    <c:v>0.20683002091352698</c:v>
                  </c:pt>
                  <c:pt idx="8">
                    <c:v>0.19706363100005042</c:v>
                  </c:pt>
                  <c:pt idx="9">
                    <c:v>0.19715772388644304</c:v>
                  </c:pt>
                  <c:pt idx="10">
                    <c:v>0.19054953611729175</c:v>
                  </c:pt>
                  <c:pt idx="11">
                    <c:v>0.18825172288400882</c:v>
                  </c:pt>
                  <c:pt idx="12">
                    <c:v>0.17464952319184679</c:v>
                  </c:pt>
                  <c:pt idx="13">
                    <c:v>0.16255002303783961</c:v>
                  </c:pt>
                  <c:pt idx="14">
                    <c:v>0.15086721951600346</c:v>
                  </c:pt>
                  <c:pt idx="15">
                    <c:v>0.13772374529064368</c:v>
                  </c:pt>
                  <c:pt idx="16">
                    <c:v>0.1243038886730794</c:v>
                  </c:pt>
                  <c:pt idx="17">
                    <c:v>0.11074937120794193</c:v>
                  </c:pt>
                  <c:pt idx="18">
                    <c:v>9.5869728838218649E-2</c:v>
                  </c:pt>
                  <c:pt idx="19">
                    <c:v>8.0198674533987102E-2</c:v>
                  </c:pt>
                  <c:pt idx="20">
                    <c:v>6.9736808999622646E-2</c:v>
                  </c:pt>
                </c:numCache>
              </c:numRef>
            </c:minus>
            <c:spPr>
              <a:noFill/>
              <a:ln w="9525" cap="flat" cmpd="sng" algn="ctr">
                <a:solidFill>
                  <a:schemeClr val="tx1">
                    <a:lumMod val="65000"/>
                    <a:lumOff val="35000"/>
                  </a:schemeClr>
                </a:solidFill>
                <a:round/>
              </a:ln>
              <a:effectLst/>
            </c:spPr>
          </c:errBars>
          <c:xVal>
            <c:numRef>
              <c:f>'R9.S.Ds.sd'!$D$3:$D$23</c:f>
              <c:numCache>
                <c:formatCode>#,##0.00</c:formatCode>
                <c:ptCount val="21"/>
                <c:pt idx="0">
                  <c:v>0</c:v>
                </c:pt>
                <c:pt idx="1">
                  <c:v>0.01</c:v>
                </c:pt>
                <c:pt idx="2">
                  <c:v>0.02</c:v>
                </c:pt>
                <c:pt idx="3">
                  <c:v>0.03</c:v>
                </c:pt>
                <c:pt idx="4">
                  <c:v>0.04</c:v>
                </c:pt>
                <c:pt idx="5">
                  <c:v>0.05</c:v>
                </c:pt>
                <c:pt idx="6">
                  <c:v>0.06</c:v>
                </c:pt>
                <c:pt idx="7">
                  <c:v>7.0000000000000007E-2</c:v>
                </c:pt>
                <c:pt idx="8">
                  <c:v>0.08</c:v>
                </c:pt>
                <c:pt idx="9">
                  <c:v>0.09</c:v>
                </c:pt>
                <c:pt idx="10">
                  <c:v>0.1</c:v>
                </c:pt>
                <c:pt idx="11">
                  <c:v>0.11</c:v>
                </c:pt>
                <c:pt idx="12">
                  <c:v>0.12</c:v>
                </c:pt>
                <c:pt idx="13">
                  <c:v>0.13</c:v>
                </c:pt>
                <c:pt idx="14">
                  <c:v>0.14000000000000001</c:v>
                </c:pt>
                <c:pt idx="15">
                  <c:v>0.15</c:v>
                </c:pt>
                <c:pt idx="16">
                  <c:v>0.16</c:v>
                </c:pt>
                <c:pt idx="17">
                  <c:v>0.17</c:v>
                </c:pt>
                <c:pt idx="18">
                  <c:v>0.18</c:v>
                </c:pt>
                <c:pt idx="19">
                  <c:v>0.19</c:v>
                </c:pt>
                <c:pt idx="20">
                  <c:v>0.2</c:v>
                </c:pt>
              </c:numCache>
            </c:numRef>
          </c:xVal>
          <c:yVal>
            <c:numRef>
              <c:f>'R9.S.Ds.sd'!$K$3:$K$23</c:f>
              <c:numCache>
                <c:formatCode>#,##0.0000</c:formatCode>
                <c:ptCount val="21"/>
                <c:pt idx="0">
                  <c:v>7.7741357660961041</c:v>
                </c:pt>
                <c:pt idx="1">
                  <c:v>8.1925305567287197</c:v>
                </c:pt>
                <c:pt idx="2">
                  <c:v>8.2275216374437665</c:v>
                </c:pt>
                <c:pt idx="3">
                  <c:v>8.4694772493289125</c:v>
                </c:pt>
                <c:pt idx="4">
                  <c:v>8.4496777120902973</c:v>
                </c:pt>
                <c:pt idx="5">
                  <c:v>8.5418228550817243</c:v>
                </c:pt>
                <c:pt idx="6">
                  <c:v>8.5335525458573152</c:v>
                </c:pt>
                <c:pt idx="7">
                  <c:v>8.6630145388422353</c:v>
                </c:pt>
                <c:pt idx="8">
                  <c:v>8.4244250254098016</c:v>
                </c:pt>
                <c:pt idx="9">
                  <c:v>8.3110984512842343</c:v>
                </c:pt>
                <c:pt idx="10">
                  <c:v>8.2323369664868498</c:v>
                </c:pt>
                <c:pt idx="11">
                  <c:v>7.9883055300161923</c:v>
                </c:pt>
                <c:pt idx="12">
                  <c:v>7.6455572684635413</c:v>
                </c:pt>
                <c:pt idx="13">
                  <c:v>7.6249815184817828</c:v>
                </c:pt>
                <c:pt idx="14">
                  <c:v>7.2296411182788969</c:v>
                </c:pt>
                <c:pt idx="15">
                  <c:v>6.7094128073577517</c:v>
                </c:pt>
                <c:pt idx="16">
                  <c:v>6.3551154255122704</c:v>
                </c:pt>
                <c:pt idx="17">
                  <c:v>5.8589053174160011</c:v>
                </c:pt>
                <c:pt idx="18">
                  <c:v>5.3608213804470335</c:v>
                </c:pt>
                <c:pt idx="19">
                  <c:v>4.9376564038787416</c:v>
                </c:pt>
                <c:pt idx="20">
                  <c:v>4.5954538632858801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100C-454B-89F5-3A4C67B7C310}"/>
            </c:ext>
          </c:extLst>
        </c:ser>
        <c:ser>
          <c:idx val="0"/>
          <c:order val="1"/>
          <c:tx>
            <c:v>Codebook 2</c:v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errBars>
            <c:errDir val="x"/>
            <c:errBarType val="both"/>
            <c:errValType val="stdErr"/>
            <c:noEndCap val="0"/>
            <c:spPr>
              <a:noFill/>
              <a:ln w="9525" cap="flat" cmpd="sng" algn="ctr">
                <a:noFill/>
                <a:round/>
              </a:ln>
              <a:effectLst/>
            </c:spPr>
          </c:errBars>
          <c:errBars>
            <c:errDir val="y"/>
            <c:errBarType val="both"/>
            <c:errValType val="cust"/>
            <c:noEndCap val="0"/>
            <c:plus>
              <c:numRef>
                <c:f>'R9.S.Ds.sd'!$O$25:$O$45</c:f>
                <c:numCache>
                  <c:formatCode>General</c:formatCode>
                  <c:ptCount val="21"/>
                  <c:pt idx="0">
                    <c:v>5.5988425755794324E-2</c:v>
                  </c:pt>
                  <c:pt idx="1">
                    <c:v>5.4744681778286619E-2</c:v>
                  </c:pt>
                  <c:pt idx="2">
                    <c:v>5.2481377721379729E-2</c:v>
                  </c:pt>
                  <c:pt idx="3">
                    <c:v>5.5762495226259645E-2</c:v>
                  </c:pt>
                  <c:pt idx="4">
                    <c:v>5.8381380040028574E-2</c:v>
                  </c:pt>
                  <c:pt idx="5">
                    <c:v>5.8460722089627382E-2</c:v>
                  </c:pt>
                  <c:pt idx="6">
                    <c:v>6.239336166331988E-2</c:v>
                  </c:pt>
                  <c:pt idx="7">
                    <c:v>7.000040707448818E-2</c:v>
                  </c:pt>
                  <c:pt idx="8">
                    <c:v>6.7040888564458001E-2</c:v>
                  </c:pt>
                  <c:pt idx="9">
                    <c:v>6.1534579864177985E-2</c:v>
                  </c:pt>
                  <c:pt idx="10">
                    <c:v>6.0383580012070226E-2</c:v>
                  </c:pt>
                  <c:pt idx="11">
                    <c:v>5.8826079611616677E-2</c:v>
                  </c:pt>
                  <c:pt idx="12">
                    <c:v>6.5077950833421383E-2</c:v>
                  </c:pt>
                  <c:pt idx="13">
                    <c:v>6.0772722377055999E-2</c:v>
                  </c:pt>
                  <c:pt idx="14">
                    <c:v>4.9702964175084574E-2</c:v>
                  </c:pt>
                  <c:pt idx="15">
                    <c:v>4.8871978427477814E-2</c:v>
                  </c:pt>
                  <c:pt idx="16">
                    <c:v>4.544291506480036E-2</c:v>
                  </c:pt>
                  <c:pt idx="17">
                    <c:v>4.5698386306564309E-2</c:v>
                  </c:pt>
                  <c:pt idx="18">
                    <c:v>4.1347192442822589E-2</c:v>
                  </c:pt>
                  <c:pt idx="19">
                    <c:v>4.0651132606799756E-2</c:v>
                  </c:pt>
                  <c:pt idx="20">
                    <c:v>3.3791254785906055E-2</c:v>
                  </c:pt>
                </c:numCache>
              </c:numRef>
            </c:plus>
            <c:minus>
              <c:numRef>
                <c:f>'R9.S.Ds.sd'!$N$25:$N$45</c:f>
                <c:numCache>
                  <c:formatCode>General</c:formatCode>
                  <c:ptCount val="21"/>
                  <c:pt idx="0">
                    <c:v>5.5275810682637427E-2</c:v>
                  </c:pt>
                  <c:pt idx="1">
                    <c:v>5.4063183258440617E-2</c:v>
                  </c:pt>
                  <c:pt idx="2">
                    <c:v>5.1854742758983718E-2</c:v>
                  </c:pt>
                  <c:pt idx="3">
                    <c:v>5.5055583560061905E-2</c:v>
                  </c:pt>
                  <c:pt idx="4">
                    <c:v>5.7606969020243426E-2</c:v>
                  </c:pt>
                  <c:pt idx="5">
                    <c:v>5.7684218711203883E-2</c:v>
                  </c:pt>
                  <c:pt idx="6">
                    <c:v>6.1509661821148143E-2</c:v>
                  </c:pt>
                  <c:pt idx="7">
                    <c:v>6.8890001328188788E-2</c:v>
                  </c:pt>
                  <c:pt idx="8">
                    <c:v>6.6021709003480922E-2</c:v>
                  </c:pt>
                  <c:pt idx="9">
                    <c:v>6.0674871879193404E-2</c:v>
                  </c:pt>
                  <c:pt idx="10">
                    <c:v>5.9555516887110471E-2</c:v>
                  </c:pt>
                  <c:pt idx="11">
                    <c:v>5.8039905313416185E-2</c:v>
                  </c:pt>
                  <c:pt idx="12">
                    <c:v>6.4117153480241385E-2</c:v>
                  </c:pt>
                  <c:pt idx="13">
                    <c:v>5.9934025896971832E-2</c:v>
                  </c:pt>
                  <c:pt idx="14">
                    <c:v>4.9140567386912082E-2</c:v>
                  </c:pt>
                  <c:pt idx="15">
                    <c:v>4.8328127207584615E-2</c:v>
                  </c:pt>
                  <c:pt idx="16">
                    <c:v>4.4972337461352652E-2</c:v>
                  </c:pt>
                  <c:pt idx="17">
                    <c:v>4.522253049351832E-2</c:v>
                  </c:pt>
                  <c:pt idx="18">
                    <c:v>4.0957254229478934E-2</c:v>
                  </c:pt>
                  <c:pt idx="19">
                    <c:v>4.0274152966540022E-2</c:v>
                  </c:pt>
                  <c:pt idx="20">
                    <c:v>3.3530362981430528E-2</c:v>
                  </c:pt>
                </c:numCache>
              </c:numRef>
            </c:minus>
            <c:spPr>
              <a:noFill/>
              <a:ln w="9525" cap="flat" cmpd="sng" algn="ctr">
                <a:solidFill>
                  <a:schemeClr val="tx1">
                    <a:lumMod val="65000"/>
                    <a:lumOff val="35000"/>
                  </a:schemeClr>
                </a:solidFill>
                <a:round/>
              </a:ln>
              <a:effectLst/>
            </c:spPr>
          </c:errBars>
          <c:xVal>
            <c:numRef>
              <c:f>'R9.S.Ds.sd'!$D$25:$D$45</c:f>
              <c:numCache>
                <c:formatCode>#,##0.00</c:formatCode>
                <c:ptCount val="21"/>
                <c:pt idx="0" formatCode="#,##0.000">
                  <c:v>0</c:v>
                </c:pt>
                <c:pt idx="1">
                  <c:v>0.01</c:v>
                </c:pt>
                <c:pt idx="2">
                  <c:v>0.02</c:v>
                </c:pt>
                <c:pt idx="3">
                  <c:v>0.03</c:v>
                </c:pt>
                <c:pt idx="4">
                  <c:v>0.04</c:v>
                </c:pt>
                <c:pt idx="5">
                  <c:v>0.05</c:v>
                </c:pt>
                <c:pt idx="6">
                  <c:v>0.06</c:v>
                </c:pt>
                <c:pt idx="7">
                  <c:v>7.0000000000000007E-2</c:v>
                </c:pt>
                <c:pt idx="8">
                  <c:v>0.08</c:v>
                </c:pt>
                <c:pt idx="9">
                  <c:v>0.09</c:v>
                </c:pt>
                <c:pt idx="10">
                  <c:v>0.1</c:v>
                </c:pt>
                <c:pt idx="11">
                  <c:v>0.11</c:v>
                </c:pt>
                <c:pt idx="12">
                  <c:v>0.12</c:v>
                </c:pt>
                <c:pt idx="13">
                  <c:v>0.13</c:v>
                </c:pt>
                <c:pt idx="14">
                  <c:v>0.14000000000000001</c:v>
                </c:pt>
                <c:pt idx="15">
                  <c:v>0.15</c:v>
                </c:pt>
                <c:pt idx="16">
                  <c:v>0.16</c:v>
                </c:pt>
                <c:pt idx="17">
                  <c:v>0.17</c:v>
                </c:pt>
                <c:pt idx="18">
                  <c:v>0.18</c:v>
                </c:pt>
                <c:pt idx="19">
                  <c:v>0.19</c:v>
                </c:pt>
                <c:pt idx="20">
                  <c:v>0.2</c:v>
                </c:pt>
              </c:numCache>
            </c:numRef>
          </c:xVal>
          <c:yVal>
            <c:numRef>
              <c:f>'R9.S.Ds.sd'!$K$25:$K$45</c:f>
              <c:numCache>
                <c:formatCode>#,##0.0000</c:formatCode>
                <c:ptCount val="21"/>
                <c:pt idx="0">
                  <c:v>8.8577834298520735</c:v>
                </c:pt>
                <c:pt idx="1">
                  <c:v>8.8561144572500829</c:v>
                </c:pt>
                <c:pt idx="2">
                  <c:v>8.9876861320930104</c:v>
                </c:pt>
                <c:pt idx="3">
                  <c:v>9.1673633174764682</c:v>
                </c:pt>
                <c:pt idx="4">
                  <c:v>9.3974297188945677</c:v>
                </c:pt>
                <c:pt idx="5">
                  <c:v>9.7915551593976229</c:v>
                </c:pt>
                <c:pt idx="6">
                  <c:v>10.043648054024501</c:v>
                </c:pt>
                <c:pt idx="7">
                  <c:v>10.262565623398963</c:v>
                </c:pt>
                <c:pt idx="8">
                  <c:v>10.296531237699067</c:v>
                </c:pt>
                <c:pt idx="9">
                  <c:v>10.286468265075012</c:v>
                </c:pt>
                <c:pt idx="10">
                  <c:v>10.110696290203213</c:v>
                </c:pt>
                <c:pt idx="11">
                  <c:v>9.9913227846877302</c:v>
                </c:pt>
                <c:pt idx="12">
                  <c:v>9.702105291681443</c:v>
                </c:pt>
                <c:pt idx="13">
                  <c:v>9.4551462278694025</c:v>
                </c:pt>
                <c:pt idx="14">
                  <c:v>9.0465626812747466</c:v>
                </c:pt>
                <c:pt idx="15">
                  <c:v>8.6476130675188809</c:v>
                </c:pt>
                <c:pt idx="16">
                  <c:v>8.101822875049514</c:v>
                </c:pt>
                <c:pt idx="17">
                  <c:v>7.4901107061932182</c:v>
                </c:pt>
                <c:pt idx="18">
                  <c:v>6.9414725977561424</c:v>
                </c:pt>
                <c:pt idx="19">
                  <c:v>6.3251983509331575</c:v>
                </c:pt>
                <c:pt idx="20">
                  <c:v>5.8098100327764275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100C-454B-89F5-3A4C67B7C310}"/>
            </c:ext>
          </c:extLst>
        </c:ser>
        <c:ser>
          <c:idx val="2"/>
          <c:order val="2"/>
          <c:tx>
            <c:v>Codebook 3</c:v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errBars>
            <c:errDir val="x"/>
            <c:errBarType val="both"/>
            <c:errValType val="stdErr"/>
            <c:noEndCap val="0"/>
            <c:spPr>
              <a:noFill/>
              <a:ln w="9525" cap="flat" cmpd="sng" algn="ctr">
                <a:noFill/>
                <a:round/>
              </a:ln>
              <a:effectLst/>
            </c:spPr>
          </c:errBars>
          <c:errBars>
            <c:errDir val="y"/>
            <c:errBarType val="both"/>
            <c:errValType val="cust"/>
            <c:noEndCap val="0"/>
            <c:plus>
              <c:numRef>
                <c:f>'R9.S.Ds.sd'!$O$47:$O$67</c:f>
                <c:numCache>
                  <c:formatCode>General</c:formatCode>
                  <c:ptCount val="21"/>
                  <c:pt idx="0">
                    <c:v>7.3505741797060153E-2</c:v>
                  </c:pt>
                  <c:pt idx="1">
                    <c:v>7.6878679798504379E-2</c:v>
                  </c:pt>
                  <c:pt idx="2">
                    <c:v>7.7235956723695764E-2</c:v>
                  </c:pt>
                  <c:pt idx="3">
                    <c:v>7.3999270766742953E-2</c:v>
                  </c:pt>
                  <c:pt idx="4">
                    <c:v>7.3506967175307025E-2</c:v>
                  </c:pt>
                  <c:pt idx="5">
                    <c:v>7.1471107096426678E-2</c:v>
                  </c:pt>
                  <c:pt idx="6">
                    <c:v>6.9506055616406215E-2</c:v>
                  </c:pt>
                  <c:pt idx="7">
                    <c:v>7.2199400130177338E-2</c:v>
                  </c:pt>
                  <c:pt idx="8">
                    <c:v>6.8370283002968435E-2</c:v>
                  </c:pt>
                  <c:pt idx="9">
                    <c:v>6.2576399499047142E-2</c:v>
                  </c:pt>
                  <c:pt idx="10">
                    <c:v>6.1115977555976642E-2</c:v>
                  </c:pt>
                  <c:pt idx="11">
                    <c:v>5.8412428295159913E-2</c:v>
                  </c:pt>
                  <c:pt idx="12">
                    <c:v>5.4551520776547235E-2</c:v>
                  </c:pt>
                  <c:pt idx="13">
                    <c:v>5.6580679507831633E-2</c:v>
                  </c:pt>
                  <c:pt idx="14">
                    <c:v>5.3703127974838338E-2</c:v>
                  </c:pt>
                  <c:pt idx="15">
                    <c:v>5.0345528081281898E-2</c:v>
                  </c:pt>
                  <c:pt idx="16">
                    <c:v>4.8367884199046252E-2</c:v>
                  </c:pt>
                  <c:pt idx="17">
                    <c:v>4.8089206208912216E-2</c:v>
                  </c:pt>
                  <c:pt idx="18">
                    <c:v>4.1687390330045204E-2</c:v>
                  </c:pt>
                  <c:pt idx="19">
                    <c:v>3.8376518384886538E-2</c:v>
                  </c:pt>
                  <c:pt idx="20">
                    <c:v>3.5071696696683752E-2</c:v>
                  </c:pt>
                </c:numCache>
              </c:numRef>
            </c:plus>
            <c:minus>
              <c:numRef>
                <c:f>'R9.S.Ds.sd'!$N$47:$N$67</c:f>
                <c:numCache>
                  <c:formatCode>General</c:formatCode>
                  <c:ptCount val="21"/>
                  <c:pt idx="0">
                    <c:v>7.2282311639783714E-2</c:v>
                  </c:pt>
                  <c:pt idx="1">
                    <c:v>7.5541413632469911E-2</c:v>
                  </c:pt>
                  <c:pt idx="2">
                    <c:v>7.5886341154584258E-2</c:v>
                  </c:pt>
                  <c:pt idx="3">
                    <c:v>7.2759495020253695E-2</c:v>
                  </c:pt>
                  <c:pt idx="4">
                    <c:v>7.2283496565818339E-2</c:v>
                  </c:pt>
                  <c:pt idx="5">
                    <c:v>7.031393685736731E-2</c:v>
                  </c:pt>
                  <c:pt idx="6">
                    <c:v>6.8411155797299728E-2</c:v>
                  </c:pt>
                  <c:pt idx="7">
                    <c:v>7.1018720794880252E-2</c:v>
                  </c:pt>
                  <c:pt idx="8">
                    <c:v>6.7310601464965814E-2</c:v>
                  </c:pt>
                  <c:pt idx="9">
                    <c:v>6.1687544034072062E-2</c:v>
                  </c:pt>
                  <c:pt idx="10">
                    <c:v>6.0267846063815966E-2</c:v>
                  </c:pt>
                  <c:pt idx="11">
                    <c:v>5.7637198822034108E-2</c:v>
                  </c:pt>
                  <c:pt idx="12">
                    <c:v>5.3874793304451885E-2</c:v>
                  </c:pt>
                  <c:pt idx="13">
                    <c:v>5.5853006166840302E-2</c:v>
                  </c:pt>
                  <c:pt idx="14">
                    <c:v>5.3047159644830089E-2</c:v>
                  </c:pt>
                  <c:pt idx="15">
                    <c:v>4.9768580113788374E-2</c:v>
                  </c:pt>
                  <c:pt idx="16">
                    <c:v>4.7835133281139086E-2</c:v>
                  </c:pt>
                  <c:pt idx="17">
                    <c:v>4.7562543273798497E-2</c:v>
                  </c:pt>
                  <c:pt idx="18">
                    <c:v>4.1291039730829482E-2</c:v>
                  </c:pt>
                  <c:pt idx="19">
                    <c:v>3.8040371714501475E-2</c:v>
                  </c:pt>
                  <c:pt idx="20">
                    <c:v>3.4790740587283153E-2</c:v>
                  </c:pt>
                </c:numCache>
              </c:numRef>
            </c:minus>
            <c:spPr>
              <a:noFill/>
              <a:ln w="9525" cap="flat" cmpd="sng" algn="ctr">
                <a:solidFill>
                  <a:schemeClr val="tx1">
                    <a:lumMod val="65000"/>
                    <a:lumOff val="35000"/>
                  </a:schemeClr>
                </a:solidFill>
                <a:round/>
              </a:ln>
              <a:effectLst/>
            </c:spPr>
          </c:errBars>
          <c:xVal>
            <c:numRef>
              <c:f>'R9.S.Ds.sd'!$D$47:$D$67</c:f>
              <c:numCache>
                <c:formatCode>#,##0.00</c:formatCode>
                <c:ptCount val="21"/>
                <c:pt idx="0">
                  <c:v>0</c:v>
                </c:pt>
                <c:pt idx="1">
                  <c:v>0.01</c:v>
                </c:pt>
                <c:pt idx="2">
                  <c:v>0.02</c:v>
                </c:pt>
                <c:pt idx="3">
                  <c:v>0.03</c:v>
                </c:pt>
                <c:pt idx="4">
                  <c:v>0.04</c:v>
                </c:pt>
                <c:pt idx="5">
                  <c:v>0.05</c:v>
                </c:pt>
                <c:pt idx="6">
                  <c:v>0.06</c:v>
                </c:pt>
                <c:pt idx="7">
                  <c:v>7.0000000000000007E-2</c:v>
                </c:pt>
                <c:pt idx="8">
                  <c:v>0.08</c:v>
                </c:pt>
                <c:pt idx="9">
                  <c:v>0.09</c:v>
                </c:pt>
                <c:pt idx="10">
                  <c:v>0.1</c:v>
                </c:pt>
                <c:pt idx="11">
                  <c:v>0.11</c:v>
                </c:pt>
                <c:pt idx="12">
                  <c:v>0.12</c:v>
                </c:pt>
                <c:pt idx="13">
                  <c:v>0.13</c:v>
                </c:pt>
                <c:pt idx="14">
                  <c:v>0.14000000000000001</c:v>
                </c:pt>
                <c:pt idx="15">
                  <c:v>0.15</c:v>
                </c:pt>
                <c:pt idx="16">
                  <c:v>0.16</c:v>
                </c:pt>
                <c:pt idx="17">
                  <c:v>0.17</c:v>
                </c:pt>
                <c:pt idx="18">
                  <c:v>0.18</c:v>
                </c:pt>
                <c:pt idx="19">
                  <c:v>0.19</c:v>
                </c:pt>
                <c:pt idx="20">
                  <c:v>0.2</c:v>
                </c:pt>
              </c:numCache>
            </c:numRef>
          </c:xVal>
          <c:yVal>
            <c:numRef>
              <c:f>'R9.S.Ds.sd'!$K$47:$K$67</c:f>
              <c:numCache>
                <c:formatCode>#,##0.0000</c:formatCode>
                <c:ptCount val="21"/>
                <c:pt idx="0">
                  <c:v>9.138775535792643</c:v>
                </c:pt>
                <c:pt idx="1">
                  <c:v>9.1811286057645027</c:v>
                </c:pt>
                <c:pt idx="2">
                  <c:v>9.3716741306326572</c:v>
                </c:pt>
                <c:pt idx="3">
                  <c:v>9.4929809070700344</c:v>
                </c:pt>
                <c:pt idx="4">
                  <c:v>9.7524076096460384</c:v>
                </c:pt>
                <c:pt idx="5">
                  <c:v>10.01667994549962</c:v>
                </c:pt>
                <c:pt idx="6">
                  <c:v>10.114410431213845</c:v>
                </c:pt>
                <c:pt idx="7">
                  <c:v>10.046573581126729</c:v>
                </c:pt>
                <c:pt idx="8">
                  <c:v>9.9260788042705066</c:v>
                </c:pt>
                <c:pt idx="9">
                  <c:v>9.6791873238855946</c:v>
                </c:pt>
                <c:pt idx="10">
                  <c:v>9.5657222247163478</c:v>
                </c:pt>
                <c:pt idx="11">
                  <c:v>9.3967997131171472</c:v>
                </c:pt>
                <c:pt idx="12">
                  <c:v>9.217244779133992</c:v>
                </c:pt>
                <c:pt idx="13">
                  <c:v>8.9437628902838533</c:v>
                </c:pt>
                <c:pt idx="14">
                  <c:v>8.6779369311076611</c:v>
                </c:pt>
                <c:pt idx="15">
                  <c:v>8.2121483653944729</c:v>
                </c:pt>
                <c:pt idx="16">
                  <c:v>7.6827561667148352</c:v>
                </c:pt>
                <c:pt idx="17">
                  <c:v>7.0781779453058071</c:v>
                </c:pt>
                <c:pt idx="18">
                  <c:v>6.5195488246311273</c:v>
                </c:pt>
                <c:pt idx="19">
                  <c:v>5.9399947466024763</c:v>
                </c:pt>
                <c:pt idx="20">
                  <c:v>5.5126792199272678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100C-454B-89F5-3A4C67B7C310}"/>
            </c:ext>
          </c:extLst>
        </c:ser>
        <c:ser>
          <c:idx val="3"/>
          <c:order val="3"/>
          <c:tx>
            <c:v>Codebook 4</c:v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errBars>
            <c:errDir val="x"/>
            <c:errBarType val="both"/>
            <c:errValType val="stdErr"/>
            <c:noEndCap val="0"/>
            <c:spPr>
              <a:noFill/>
              <a:ln w="9525" cap="flat" cmpd="sng" algn="ctr">
                <a:noFill/>
                <a:round/>
              </a:ln>
              <a:effectLst/>
            </c:spPr>
          </c:errBars>
          <c:errBars>
            <c:errDir val="y"/>
            <c:errBarType val="both"/>
            <c:errValType val="cust"/>
            <c:noEndCap val="0"/>
            <c:plus>
              <c:numRef>
                <c:f>'R9.S.Ds.sd'!$O$69:$O$89</c:f>
                <c:numCache>
                  <c:formatCode>General</c:formatCode>
                  <c:ptCount val="21"/>
                  <c:pt idx="0">
                    <c:v>0.210690986940687</c:v>
                  </c:pt>
                  <c:pt idx="1">
                    <c:v>0.1767694402655362</c:v>
                  </c:pt>
                  <c:pt idx="2">
                    <c:v>0.21208960016693368</c:v>
                  </c:pt>
                  <c:pt idx="3">
                    <c:v>0.2184034026417816</c:v>
                  </c:pt>
                  <c:pt idx="4">
                    <c:v>0.20524632208820393</c:v>
                  </c:pt>
                  <c:pt idx="5">
                    <c:v>0.23858711996413184</c:v>
                  </c:pt>
                  <c:pt idx="6">
                    <c:v>0.22393794702755621</c:v>
                  </c:pt>
                  <c:pt idx="7">
                    <c:v>0.19360289812926013</c:v>
                  </c:pt>
                  <c:pt idx="8">
                    <c:v>0.16893236035119585</c:v>
                  </c:pt>
                  <c:pt idx="9">
                    <c:v>0.18855244124346093</c:v>
                  </c:pt>
                  <c:pt idx="10">
                    <c:v>0.19660584359157873</c:v>
                  </c:pt>
                  <c:pt idx="11">
                    <c:v>0.18870101718171206</c:v>
                  </c:pt>
                  <c:pt idx="12">
                    <c:v>0.16950728224565204</c:v>
                  </c:pt>
                  <c:pt idx="13">
                    <c:v>0.15655876504217403</c:v>
                  </c:pt>
                  <c:pt idx="14">
                    <c:v>0.16693400956740234</c:v>
                  </c:pt>
                  <c:pt idx="15">
                    <c:v>0.1278021930398836</c:v>
                  </c:pt>
                  <c:pt idx="16">
                    <c:v>0.11302356117594137</c:v>
                  </c:pt>
                  <c:pt idx="17">
                    <c:v>0.11437743522648258</c:v>
                  </c:pt>
                  <c:pt idx="18">
                    <c:v>9.4098742330866791E-2</c:v>
                  </c:pt>
                  <c:pt idx="19">
                    <c:v>7.1493802169127818E-2</c:v>
                  </c:pt>
                  <c:pt idx="20">
                    <c:v>7.9477951427106674E-2</c:v>
                  </c:pt>
                </c:numCache>
              </c:numRef>
            </c:plus>
            <c:minus>
              <c:numRef>
                <c:f>'R9.S.Ds.sd'!$N$69:$N$89</c:f>
                <c:numCache>
                  <c:formatCode>General</c:formatCode>
                  <c:ptCount val="21"/>
                  <c:pt idx="0">
                    <c:v>0.20094084142838042</c:v>
                  </c:pt>
                  <c:pt idx="1">
                    <c:v>0.16985497255176263</c:v>
                  </c:pt>
                  <c:pt idx="2">
                    <c:v>0.20221258903903916</c:v>
                  </c:pt>
                  <c:pt idx="3">
                    <c:v>0.20794396001619475</c:v>
                  </c:pt>
                  <c:pt idx="4">
                    <c:v>0.19598259486643066</c:v>
                  </c:pt>
                  <c:pt idx="5">
                    <c:v>0.22615968744791104</c:v>
                  </c:pt>
                  <c:pt idx="6">
                    <c:v>0.21295490770691394</c:v>
                  </c:pt>
                  <c:pt idx="7">
                    <c:v>0.18533939611998385</c:v>
                  </c:pt>
                  <c:pt idx="8">
                    <c:v>0.16260650632327867</c:v>
                  </c:pt>
                  <c:pt idx="9">
                    <c:v>0.18070577364774465</c:v>
                  </c:pt>
                  <c:pt idx="10">
                    <c:v>0.18808960423475973</c:v>
                  </c:pt>
                  <c:pt idx="11">
                    <c:v>0.18084223460333249</c:v>
                  </c:pt>
                  <c:pt idx="12">
                    <c:v>0.16313910438962864</c:v>
                  </c:pt>
                  <c:pt idx="13">
                    <c:v>0.15111080408461852</c:v>
                  </c:pt>
                  <c:pt idx="14">
                    <c:v>0.16075421039788118</c:v>
                  </c:pt>
                  <c:pt idx="15">
                    <c:v>0.12414855019173565</c:v>
                  </c:pt>
                  <c:pt idx="16">
                    <c:v>0.11015661752245975</c:v>
                  </c:pt>
                  <c:pt idx="17">
                    <c:v>0.11144228384990829</c:v>
                  </c:pt>
                  <c:pt idx="18">
                    <c:v>9.2103065466463185E-2</c:v>
                  </c:pt>
                  <c:pt idx="19">
                    <c:v>7.0335902850365173E-2</c:v>
                  </c:pt>
                  <c:pt idx="20">
                    <c:v>7.8049568138871983E-2</c:v>
                  </c:pt>
                </c:numCache>
              </c:numRef>
            </c:minus>
            <c:spPr>
              <a:noFill/>
              <a:ln w="9525" cap="flat" cmpd="sng" algn="ctr">
                <a:solidFill>
                  <a:schemeClr val="tx1">
                    <a:lumMod val="65000"/>
                    <a:lumOff val="35000"/>
                  </a:schemeClr>
                </a:solidFill>
                <a:round/>
              </a:ln>
              <a:effectLst/>
            </c:spPr>
          </c:errBars>
          <c:xVal>
            <c:numRef>
              <c:f>'R9.S.Ds.sd'!$D$69:$D$89</c:f>
              <c:numCache>
                <c:formatCode>#,##0.00</c:formatCode>
                <c:ptCount val="21"/>
                <c:pt idx="0">
                  <c:v>0</c:v>
                </c:pt>
                <c:pt idx="1">
                  <c:v>0.01</c:v>
                </c:pt>
                <c:pt idx="2">
                  <c:v>0.02</c:v>
                </c:pt>
                <c:pt idx="3">
                  <c:v>0.03</c:v>
                </c:pt>
                <c:pt idx="4">
                  <c:v>0.04</c:v>
                </c:pt>
                <c:pt idx="5">
                  <c:v>0.05</c:v>
                </c:pt>
                <c:pt idx="6">
                  <c:v>0.06</c:v>
                </c:pt>
                <c:pt idx="7">
                  <c:v>7.0000000000000007E-2</c:v>
                </c:pt>
                <c:pt idx="8">
                  <c:v>0.08</c:v>
                </c:pt>
                <c:pt idx="9">
                  <c:v>0.09</c:v>
                </c:pt>
                <c:pt idx="10">
                  <c:v>0.1</c:v>
                </c:pt>
                <c:pt idx="11">
                  <c:v>0.11</c:v>
                </c:pt>
                <c:pt idx="12">
                  <c:v>0.12</c:v>
                </c:pt>
                <c:pt idx="13">
                  <c:v>0.13</c:v>
                </c:pt>
                <c:pt idx="14">
                  <c:v>0.14000000000000001</c:v>
                </c:pt>
                <c:pt idx="15">
                  <c:v>0.15</c:v>
                </c:pt>
                <c:pt idx="16">
                  <c:v>0.16</c:v>
                </c:pt>
                <c:pt idx="17">
                  <c:v>0.17</c:v>
                </c:pt>
                <c:pt idx="18">
                  <c:v>0.18</c:v>
                </c:pt>
                <c:pt idx="19">
                  <c:v>0.19</c:v>
                </c:pt>
                <c:pt idx="20">
                  <c:v>0.2</c:v>
                </c:pt>
              </c:numCache>
            </c:numRef>
          </c:xVal>
          <c:yVal>
            <c:numRef>
              <c:f>'R9.S.Ds.sd'!$K$69:$K$89</c:f>
              <c:numCache>
                <c:formatCode>#,##0.0000</c:formatCode>
                <c:ptCount val="21"/>
                <c:pt idx="0">
                  <c:v>10.944739515649516</c:v>
                </c:pt>
                <c:pt idx="1">
                  <c:v>11.188056146374665</c:v>
                </c:pt>
                <c:pt idx="2">
                  <c:v>11.071636473736095</c:v>
                </c:pt>
                <c:pt idx="3">
                  <c:v>11.240710150770729</c:v>
                </c:pt>
                <c:pt idx="4">
                  <c:v>11.409618282348816</c:v>
                </c:pt>
                <c:pt idx="5">
                  <c:v>11.355878132792558</c:v>
                </c:pt>
                <c:pt idx="6">
                  <c:v>11.179500490029618</c:v>
                </c:pt>
                <c:pt idx="7">
                  <c:v>11.386647611150575</c:v>
                </c:pt>
                <c:pt idx="8">
                  <c:v>11.170013931388569</c:v>
                </c:pt>
                <c:pt idx="9">
                  <c:v>10.796157578216425</c:v>
                </c:pt>
                <c:pt idx="10">
                  <c:v>10.321401426317179</c:v>
                </c:pt>
                <c:pt idx="11">
                  <c:v>10.207552215906194</c:v>
                </c:pt>
                <c:pt idx="12">
                  <c:v>9.8758462523756698</c:v>
                </c:pt>
                <c:pt idx="13">
                  <c:v>9.5110523337890935</c:v>
                </c:pt>
                <c:pt idx="14">
                  <c:v>8.7991986587054694</c:v>
                </c:pt>
                <c:pt idx="15">
                  <c:v>8.5211765370479888</c:v>
                </c:pt>
                <c:pt idx="16">
                  <c:v>8.018012713803703</c:v>
                </c:pt>
                <c:pt idx="17">
                  <c:v>7.3114911986513818</c:v>
                </c:pt>
                <c:pt idx="18">
                  <c:v>6.945769707096523</c:v>
                </c:pt>
                <c:pt idx="19">
                  <c:v>6.5873038694155657</c:v>
                </c:pt>
                <c:pt idx="20">
                  <c:v>6.0780151124445965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100C-454B-89F5-3A4C67B7C31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78679920"/>
        <c:axId val="802641424"/>
      </c:scatterChart>
      <c:valAx>
        <c:axId val="578679920"/>
        <c:scaling>
          <c:orientation val="minMax"/>
          <c:max val="0.2"/>
          <c:min val="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AU"/>
                  <a:t>Normalised</a:t>
                </a:r>
                <a:r>
                  <a:rPr lang="en-AU" baseline="0"/>
                  <a:t> noise, </a:t>
                </a:r>
                <a:r>
                  <a:rPr lang="en-AU" sz="1000" b="0" i="1" u="none" strike="noStrike" kern="1200" spc="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  <a:cs typeface="Times New Roman" panose="02020603050405020304" pitchFamily="18" charset="0"/>
                  </a:rPr>
                  <a:t>σ</a:t>
                </a:r>
                <a:r>
                  <a:rPr lang="en-AU" baseline="0"/>
                  <a:t> </a:t>
                </a:r>
                <a:endParaRPr lang="en-AU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#,##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02641424"/>
        <c:crosses val="autoZero"/>
        <c:crossBetween val="midCat"/>
        <c:majorUnit val="2.0000000000000004E-2"/>
      </c:valAx>
      <c:valAx>
        <c:axId val="802641424"/>
        <c:scaling>
          <c:orientation val="minMax"/>
          <c:max val="12"/>
          <c:min val="4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AU"/>
                  <a:t>Q</a:t>
                </a:r>
                <a:r>
                  <a:rPr lang="en-AU" baseline="0"/>
                  <a:t>uality score, </a:t>
                </a:r>
                <a:r>
                  <a:rPr lang="en-AU" i="1" baseline="0"/>
                  <a:t>Q</a:t>
                </a:r>
                <a:endParaRPr lang="en-AU" i="1"/>
              </a:p>
            </c:rich>
          </c:tx>
          <c:layout>
            <c:manualLayout>
              <c:xMode val="edge"/>
              <c:yMode val="edge"/>
              <c:x val="1.2630035540302917E-2"/>
              <c:y val="0.3506217297161231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#,##0.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78679920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7715254705504232"/>
          <c:y val="0.34878351652668288"/>
          <c:w val="0.21228217619277828"/>
          <c:h val="0.3436151953612574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6350" cap="flat" cmpd="sng" algn="ctr">
      <a:solidFill>
        <a:schemeClr val="tx1"/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AU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Quality score vs. </a:t>
            </a:r>
            <a:r>
              <a:rPr lang="en-AU" sz="1400" b="0" i="1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cs typeface="Times New Roman" panose="02020603050405020304" pitchFamily="18" charset="0"/>
              </a:rPr>
              <a:t>K</a:t>
            </a:r>
            <a:r>
              <a:rPr lang="en-AU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cs typeface="Times New Roman" panose="02020603050405020304" pitchFamily="18" charset="0"/>
              </a:rPr>
              <a:t> : Dorado R9 'sup'</a:t>
            </a:r>
            <a:endParaRPr lang="en-AU" sz="1400" b="0" i="0" u="none" strike="noStrike" kern="1200" spc="0" baseline="0">
              <a:solidFill>
                <a:sysClr val="windowText" lastClr="000000">
                  <a:lumMod val="65000"/>
                  <a:lumOff val="35000"/>
                </a:sysClr>
              </a:solidFill>
            </a:endParaRPr>
          </a:p>
        </c:rich>
      </c:tx>
      <c:layout>
        <c:manualLayout>
          <c:xMode val="edge"/>
          <c:yMode val="edge"/>
          <c:x val="0.23448124938497378"/>
          <c:y val="3.2615808749468518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1368158226066076"/>
          <c:y val="0.15826550596557501"/>
          <c:w val="0.66061018822016926"/>
          <c:h val="0.65642128030386226"/>
        </c:manualLayout>
      </c:layout>
      <c:scatterChart>
        <c:scatterStyle val="lineMarker"/>
        <c:varyColors val="0"/>
        <c:ser>
          <c:idx val="1"/>
          <c:order val="0"/>
          <c:tx>
            <c:v>Codebook 1</c:v>
          </c:tx>
          <c:spPr>
            <a:ln w="19050" cap="rnd">
              <a:solidFill>
                <a:srgbClr val="FF0000"/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rgbClr val="FF0000"/>
              </a:solidFill>
              <a:ln w="9525">
                <a:solidFill>
                  <a:srgbClr val="FF0000"/>
                </a:solidFill>
              </a:ln>
              <a:effectLst/>
            </c:spPr>
          </c:marker>
          <c:errBars>
            <c:errDir val="x"/>
            <c:errBarType val="both"/>
            <c:errValType val="stdErr"/>
            <c:noEndCap val="0"/>
            <c:spPr>
              <a:noFill/>
              <a:ln w="9525" cap="flat" cmpd="sng" algn="ctr">
                <a:noFill/>
                <a:round/>
              </a:ln>
              <a:effectLst/>
            </c:spPr>
          </c:errBars>
          <c:errBars>
            <c:errDir val="y"/>
            <c:errBarType val="both"/>
            <c:errValType val="cust"/>
            <c:noEndCap val="0"/>
            <c:plus>
              <c:numRef>
                <c:f>'R9.S.Ds.K'!$O$3:$O$18</c:f>
                <c:numCache>
                  <c:formatCode>General</c:formatCode>
                  <c:ptCount val="16"/>
                  <c:pt idx="0">
                    <c:v>7.8772134478287903E-2</c:v>
                  </c:pt>
                  <c:pt idx="1">
                    <c:v>0.11116656068324549</c:v>
                  </c:pt>
                  <c:pt idx="2">
                    <c:v>0.14446953389246353</c:v>
                  </c:pt>
                  <c:pt idx="3">
                    <c:v>0.1606855617455567</c:v>
                  </c:pt>
                  <c:pt idx="4">
                    <c:v>0.18616565049355493</c:v>
                  </c:pt>
                  <c:pt idx="5">
                    <c:v>0.20010751658242043</c:v>
                  </c:pt>
                  <c:pt idx="6">
                    <c:v>0.21491048705774674</c:v>
                  </c:pt>
                  <c:pt idx="7">
                    <c:v>0.21802089540297942</c:v>
                  </c:pt>
                  <c:pt idx="8">
                    <c:v>0.22854108124365702</c:v>
                  </c:pt>
                  <c:pt idx="9">
                    <c:v>0.22523228358912739</c:v>
                  </c:pt>
                  <c:pt idx="10">
                    <c:v>0.243629542799642</c:v>
                  </c:pt>
                  <c:pt idx="11">
                    <c:v>0.2466761540463871</c:v>
                  </c:pt>
                  <c:pt idx="12">
                    <c:v>0.25491249814265338</c:v>
                  </c:pt>
                  <c:pt idx="13">
                    <c:v>0.27351209336947768</c:v>
                  </c:pt>
                  <c:pt idx="14">
                    <c:v>0.26436436087754878</c:v>
                  </c:pt>
                  <c:pt idx="15">
                    <c:v>0.26484883096516576</c:v>
                  </c:pt>
                </c:numCache>
              </c:numRef>
            </c:plus>
            <c:minus>
              <c:numRef>
                <c:f>'R9.S.Ds.K'!$N$3:$N$18</c:f>
                <c:numCache>
                  <c:formatCode>General</c:formatCode>
                  <c:ptCount val="16"/>
                  <c:pt idx="0">
                    <c:v>7.736878520374102E-2</c:v>
                  </c:pt>
                  <c:pt idx="1">
                    <c:v>0.1083919004496936</c:v>
                  </c:pt>
                  <c:pt idx="2">
                    <c:v>0.13981802472286287</c:v>
                  </c:pt>
                  <c:pt idx="3">
                    <c:v>0.15495183434703907</c:v>
                  </c:pt>
                  <c:pt idx="4">
                    <c:v>0.1785123751844111</c:v>
                  </c:pt>
                  <c:pt idx="5">
                    <c:v>0.19129196931647208</c:v>
                  </c:pt>
                  <c:pt idx="6">
                    <c:v>0.20477522124021696</c:v>
                  </c:pt>
                  <c:pt idx="7">
                    <c:v>0.20759719012192157</c:v>
                  </c:pt>
                  <c:pt idx="8">
                    <c:v>0.21711330787379879</c:v>
                  </c:pt>
                  <c:pt idx="9">
                    <c:v>0.21412503931385274</c:v>
                  </c:pt>
                  <c:pt idx="10">
                    <c:v>0.23068539178842329</c:v>
                  </c:pt>
                  <c:pt idx="11">
                    <c:v>0.2334149775208072</c:v>
                  </c:pt>
                  <c:pt idx="12">
                    <c:v>0.24077612480903987</c:v>
                  </c:pt>
                  <c:pt idx="13">
                    <c:v>0.25730253015411009</c:v>
                  </c:pt>
                  <c:pt idx="14">
                    <c:v>0.24919114606310266</c:v>
                  </c:pt>
                  <c:pt idx="15">
                    <c:v>0.24962153953355148</c:v>
                  </c:pt>
                </c:numCache>
              </c:numRef>
            </c:minus>
            <c:spPr>
              <a:noFill/>
              <a:ln w="9525" cap="flat" cmpd="sng" algn="ctr">
                <a:solidFill>
                  <a:schemeClr val="tx1">
                    <a:lumMod val="65000"/>
                    <a:lumOff val="35000"/>
                  </a:schemeClr>
                </a:solidFill>
                <a:round/>
              </a:ln>
              <a:effectLst/>
            </c:spPr>
          </c:errBars>
          <c:xVal>
            <c:numRef>
              <c:f>'R9.S.Ds.K'!$E$3:$E$18</c:f>
              <c:numCache>
                <c:formatCode>#,##0</c:formatCode>
                <c:ptCount val="16"/>
                <c:pt idx="0">
                  <c:v>5</c:v>
                </c:pt>
                <c:pt idx="1">
                  <c:v>6</c:v>
                </c:pt>
                <c:pt idx="2">
                  <c:v>7</c:v>
                </c:pt>
                <c:pt idx="3">
                  <c:v>8</c:v>
                </c:pt>
                <c:pt idx="4">
                  <c:v>9</c:v>
                </c:pt>
                <c:pt idx="5">
                  <c:v>10</c:v>
                </c:pt>
                <c:pt idx="6">
                  <c:v>11</c:v>
                </c:pt>
                <c:pt idx="7">
                  <c:v>12</c:v>
                </c:pt>
                <c:pt idx="8">
                  <c:v>13</c:v>
                </c:pt>
                <c:pt idx="9">
                  <c:v>14</c:v>
                </c:pt>
                <c:pt idx="10">
                  <c:v>15</c:v>
                </c:pt>
                <c:pt idx="11">
                  <c:v>16</c:v>
                </c:pt>
                <c:pt idx="12">
                  <c:v>17</c:v>
                </c:pt>
                <c:pt idx="13">
                  <c:v>18</c:v>
                </c:pt>
                <c:pt idx="14">
                  <c:v>19</c:v>
                </c:pt>
                <c:pt idx="15">
                  <c:v>20</c:v>
                </c:pt>
              </c:numCache>
            </c:numRef>
          </c:xVal>
          <c:yVal>
            <c:numRef>
              <c:f>'R9.S.Ds.K'!$K$3:$K$18</c:f>
              <c:numCache>
                <c:formatCode>#,##0.0000</c:formatCode>
                <c:ptCount val="16"/>
                <c:pt idx="0">
                  <c:v>5.0026710814344355</c:v>
                </c:pt>
                <c:pt idx="1">
                  <c:v>6.2571001232468895</c:v>
                </c:pt>
                <c:pt idx="2">
                  <c:v>7.0619564008066327</c:v>
                </c:pt>
                <c:pt idx="3">
                  <c:v>7.7382987660100113</c:v>
                </c:pt>
                <c:pt idx="4">
                  <c:v>7.8207759589836829</c:v>
                </c:pt>
                <c:pt idx="5">
                  <c:v>8.1868054830853652</c:v>
                </c:pt>
                <c:pt idx="6">
                  <c:v>8.2793248374178017</c:v>
                </c:pt>
                <c:pt idx="7">
                  <c:v>8.6417853883267242</c:v>
                </c:pt>
                <c:pt idx="8">
                  <c:v>8.7392273404356526</c:v>
                </c:pt>
                <c:pt idx="9">
                  <c:v>8.5881161359623039</c:v>
                </c:pt>
                <c:pt idx="10">
                  <c:v>8.9341251261401187</c:v>
                </c:pt>
                <c:pt idx="11">
                  <c:v>8.726252019485953</c:v>
                </c:pt>
                <c:pt idx="12">
                  <c:v>8.9233787572315464</c:v>
                </c:pt>
                <c:pt idx="13">
                  <c:v>9.3162858196735687</c:v>
                </c:pt>
                <c:pt idx="14">
                  <c:v>9.1787315063140866</c:v>
                </c:pt>
                <c:pt idx="15">
                  <c:v>9.1227772217582892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7032-4619-AB35-AB14AA56BCE4}"/>
            </c:ext>
          </c:extLst>
        </c:ser>
        <c:ser>
          <c:idx val="0"/>
          <c:order val="1"/>
          <c:tx>
            <c:v>Codebook 2</c:v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errBars>
            <c:errDir val="x"/>
            <c:errBarType val="both"/>
            <c:errValType val="stdErr"/>
            <c:noEndCap val="0"/>
            <c:spPr>
              <a:noFill/>
              <a:ln w="9525" cap="flat" cmpd="sng" algn="ctr">
                <a:noFill/>
                <a:round/>
              </a:ln>
              <a:effectLst/>
            </c:spPr>
          </c:errBars>
          <c:errBars>
            <c:errDir val="y"/>
            <c:errBarType val="both"/>
            <c:errValType val="cust"/>
            <c:noEndCap val="0"/>
            <c:plus>
              <c:numRef>
                <c:f>'R9.S.Ds.K'!$O$20:$O$35</c:f>
                <c:numCache>
                  <c:formatCode>General</c:formatCode>
                  <c:ptCount val="16"/>
                  <c:pt idx="0">
                    <c:v>3.1216320769550165E-2</c:v>
                  </c:pt>
                  <c:pt idx="1">
                    <c:v>4.3638568070579531E-2</c:v>
                  </c:pt>
                  <c:pt idx="2">
                    <c:v>5.093506609608589E-2</c:v>
                  </c:pt>
                  <c:pt idx="3">
                    <c:v>5.6748045265369029E-2</c:v>
                  </c:pt>
                  <c:pt idx="4">
                    <c:v>5.8314773518407748E-2</c:v>
                  </c:pt>
                  <c:pt idx="5">
                    <c:v>6.1365182878004632E-2</c:v>
                  </c:pt>
                  <c:pt idx="6">
                    <c:v>7.3674243361024239E-2</c:v>
                  </c:pt>
                  <c:pt idx="7">
                    <c:v>6.700519660160964E-2</c:v>
                  </c:pt>
                  <c:pt idx="8">
                    <c:v>7.8476240305318967E-2</c:v>
                  </c:pt>
                  <c:pt idx="9">
                    <c:v>8.3286612338659083E-2</c:v>
                  </c:pt>
                  <c:pt idx="10">
                    <c:v>6.9175671349269052E-2</c:v>
                  </c:pt>
                  <c:pt idx="11">
                    <c:v>0.10009689007645584</c:v>
                  </c:pt>
                  <c:pt idx="12">
                    <c:v>7.9599580112684976E-2</c:v>
                  </c:pt>
                  <c:pt idx="13">
                    <c:v>0.10264302384961788</c:v>
                  </c:pt>
                  <c:pt idx="14">
                    <c:v>0.10507829439539407</c:v>
                  </c:pt>
                  <c:pt idx="15">
                    <c:v>8.157071985599984E-2</c:v>
                  </c:pt>
                </c:numCache>
              </c:numRef>
            </c:plus>
            <c:minus>
              <c:numRef>
                <c:f>'R9.S.Ds.K'!$N$20:$N$35</c:f>
                <c:numCache>
                  <c:formatCode>General</c:formatCode>
                  <c:ptCount val="16"/>
                  <c:pt idx="0">
                    <c:v>3.0993543695954529E-2</c:v>
                  </c:pt>
                  <c:pt idx="1">
                    <c:v>4.3204439693067087E-2</c:v>
                  </c:pt>
                  <c:pt idx="2">
                    <c:v>5.0344606165658945E-2</c:v>
                  </c:pt>
                  <c:pt idx="3">
                    <c:v>5.6016088425083765E-2</c:v>
                  </c:pt>
                  <c:pt idx="4">
                    <c:v>5.7542116853269931E-2</c:v>
                  </c:pt>
                  <c:pt idx="5">
                    <c:v>6.0510168905970829E-2</c:v>
                  </c:pt>
                  <c:pt idx="6">
                    <c:v>7.2445244454112157E-2</c:v>
                  </c:pt>
                  <c:pt idx="7">
                    <c:v>6.5987093736314506E-2</c:v>
                  </c:pt>
                  <c:pt idx="8">
                    <c:v>7.7083321176331765E-2</c:v>
                  </c:pt>
                  <c:pt idx="9">
                    <c:v>8.1719395492164892E-2</c:v>
                  </c:pt>
                  <c:pt idx="10">
                    <c:v>6.8091074601976942E-2</c:v>
                  </c:pt>
                  <c:pt idx="11">
                    <c:v>9.7841720792583686E-2</c:v>
                  </c:pt>
                  <c:pt idx="12">
                    <c:v>7.8166860928492454E-2</c:v>
                  </c:pt>
                  <c:pt idx="13">
                    <c:v>0.10027302043057418</c:v>
                  </c:pt>
                  <c:pt idx="14">
                    <c:v>0.10259585193146847</c:v>
                  </c:pt>
                  <c:pt idx="15">
                    <c:v>8.0066832991185777E-2</c:v>
                  </c:pt>
                </c:numCache>
              </c:numRef>
            </c:minus>
            <c:spPr>
              <a:noFill/>
              <a:ln w="9525" cap="flat" cmpd="sng" algn="ctr">
                <a:solidFill>
                  <a:schemeClr val="tx1">
                    <a:lumMod val="65000"/>
                    <a:lumOff val="35000"/>
                  </a:schemeClr>
                </a:solidFill>
                <a:round/>
              </a:ln>
              <a:effectLst/>
            </c:spPr>
          </c:errBars>
          <c:xVal>
            <c:numRef>
              <c:f>'R9.S.Ds.K'!$E$20:$E$35</c:f>
              <c:numCache>
                <c:formatCode>#,##0</c:formatCode>
                <c:ptCount val="16"/>
                <c:pt idx="0">
                  <c:v>5</c:v>
                </c:pt>
                <c:pt idx="1">
                  <c:v>6</c:v>
                </c:pt>
                <c:pt idx="2">
                  <c:v>7</c:v>
                </c:pt>
                <c:pt idx="3">
                  <c:v>8</c:v>
                </c:pt>
                <c:pt idx="4">
                  <c:v>9</c:v>
                </c:pt>
                <c:pt idx="5">
                  <c:v>10</c:v>
                </c:pt>
                <c:pt idx="6">
                  <c:v>11</c:v>
                </c:pt>
                <c:pt idx="7">
                  <c:v>12</c:v>
                </c:pt>
                <c:pt idx="8">
                  <c:v>13</c:v>
                </c:pt>
                <c:pt idx="9">
                  <c:v>14</c:v>
                </c:pt>
                <c:pt idx="10">
                  <c:v>15</c:v>
                </c:pt>
                <c:pt idx="11">
                  <c:v>16</c:v>
                </c:pt>
                <c:pt idx="12">
                  <c:v>17</c:v>
                </c:pt>
                <c:pt idx="13">
                  <c:v>18</c:v>
                </c:pt>
                <c:pt idx="14">
                  <c:v>19</c:v>
                </c:pt>
                <c:pt idx="15">
                  <c:v>20</c:v>
                </c:pt>
              </c:numCache>
            </c:numRef>
          </c:xVal>
          <c:yVal>
            <c:numRef>
              <c:f>'R9.S.Ds.K'!$K$20:$K$35</c:f>
              <c:numCache>
                <c:formatCode>#,##0.0000</c:formatCode>
                <c:ptCount val="16"/>
                <c:pt idx="0">
                  <c:v>5.2748733092040014</c:v>
                </c:pt>
                <c:pt idx="1">
                  <c:v>6.8131073005225407</c:v>
                </c:pt>
                <c:pt idx="2">
                  <c:v>8.053469280470658</c:v>
                </c:pt>
                <c:pt idx="3">
                  <c:v>8.9375242482695736</c:v>
                </c:pt>
                <c:pt idx="4">
                  <c:v>9.6237433008528086</c:v>
                </c:pt>
                <c:pt idx="5">
                  <c:v>10.196935617731778</c:v>
                </c:pt>
                <c:pt idx="6">
                  <c:v>10.420736133796979</c:v>
                </c:pt>
                <c:pt idx="7">
                  <c:v>10.771016196545038</c:v>
                </c:pt>
                <c:pt idx="8">
                  <c:v>10.999972123732062</c:v>
                </c:pt>
                <c:pt idx="9">
                  <c:v>11.246493034207107</c:v>
                </c:pt>
                <c:pt idx="10">
                  <c:v>11.455927358509719</c:v>
                </c:pt>
                <c:pt idx="11">
                  <c:v>11.608363170853499</c:v>
                </c:pt>
                <c:pt idx="12">
                  <c:v>12.104192878355747</c:v>
                </c:pt>
                <c:pt idx="13">
                  <c:v>12.321023839819095</c:v>
                </c:pt>
                <c:pt idx="14">
                  <c:v>12.298847052128982</c:v>
                </c:pt>
                <c:pt idx="15">
                  <c:v>12.503924978626717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7032-4619-AB35-AB14AA56BCE4}"/>
            </c:ext>
          </c:extLst>
        </c:ser>
        <c:ser>
          <c:idx val="2"/>
          <c:order val="2"/>
          <c:tx>
            <c:v>Codebook 3</c:v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errBars>
            <c:errDir val="x"/>
            <c:errBarType val="both"/>
            <c:errValType val="stdErr"/>
            <c:noEndCap val="0"/>
            <c:spPr>
              <a:noFill/>
              <a:ln w="9525" cap="flat" cmpd="sng" algn="ctr">
                <a:noFill/>
                <a:round/>
              </a:ln>
              <a:effectLst/>
            </c:spPr>
          </c:errBars>
          <c:errBars>
            <c:errDir val="y"/>
            <c:errBarType val="both"/>
            <c:errValType val="cust"/>
            <c:noEndCap val="0"/>
            <c:plus>
              <c:numRef>
                <c:f>'R9.S.Ds.K'!$O$37:$O$52</c:f>
                <c:numCache>
                  <c:formatCode>General</c:formatCode>
                  <c:ptCount val="16"/>
                  <c:pt idx="0">
                    <c:v>3.5806361534484132E-2</c:v>
                  </c:pt>
                  <c:pt idx="1">
                    <c:v>4.2924118773915332E-2</c:v>
                  </c:pt>
                  <c:pt idx="2">
                    <c:v>4.9993052686536643E-2</c:v>
                  </c:pt>
                  <c:pt idx="3">
                    <c:v>5.592288222165287E-2</c:v>
                  </c:pt>
                  <c:pt idx="4">
                    <c:v>5.6185518708272042E-2</c:v>
                  </c:pt>
                  <c:pt idx="5">
                    <c:v>6.0452878354295692E-2</c:v>
                  </c:pt>
                  <c:pt idx="6">
                    <c:v>6.555793523132003E-2</c:v>
                  </c:pt>
                  <c:pt idx="7">
                    <c:v>6.2257242660626488E-2</c:v>
                  </c:pt>
                  <c:pt idx="8">
                    <c:v>6.9687772750317123E-2</c:v>
                  </c:pt>
                  <c:pt idx="9">
                    <c:v>6.5865773460579646E-2</c:v>
                  </c:pt>
                  <c:pt idx="10">
                    <c:v>6.8267662091216152E-2</c:v>
                  </c:pt>
                  <c:pt idx="11">
                    <c:v>6.9696436838684761E-2</c:v>
                  </c:pt>
                  <c:pt idx="12">
                    <c:v>7.7407833179199415E-2</c:v>
                  </c:pt>
                  <c:pt idx="13">
                    <c:v>7.8265637817661826E-2</c:v>
                  </c:pt>
                  <c:pt idx="14">
                    <c:v>7.767990051359952E-2</c:v>
                  </c:pt>
                  <c:pt idx="15">
                    <c:v>7.9420426839106995E-2</c:v>
                  </c:pt>
                </c:numCache>
              </c:numRef>
            </c:plus>
            <c:minus>
              <c:numRef>
                <c:f>'R9.S.Ds.K'!$N$37:$N$52</c:f>
                <c:numCache>
                  <c:formatCode>General</c:formatCode>
                  <c:ptCount val="16"/>
                  <c:pt idx="0">
                    <c:v>3.5513560546764467E-2</c:v>
                  </c:pt>
                  <c:pt idx="1">
                    <c:v>4.2504020794399189E-2</c:v>
                  </c:pt>
                  <c:pt idx="2">
                    <c:v>4.9424109449883957E-2</c:v>
                  </c:pt>
                  <c:pt idx="3">
                    <c:v>5.5211924063952367E-2</c:v>
                  </c:pt>
                  <c:pt idx="4">
                    <c:v>5.5467909730415599E-2</c:v>
                  </c:pt>
                  <c:pt idx="5">
                    <c:v>5.9622926541473831E-2</c:v>
                  </c:pt>
                  <c:pt idx="6">
                    <c:v>6.4583018731505959E-2</c:v>
                  </c:pt>
                  <c:pt idx="7">
                    <c:v>6.1377367294470631E-2</c:v>
                  </c:pt>
                  <c:pt idx="8">
                    <c:v>6.8587185627439595E-2</c:v>
                  </c:pt>
                  <c:pt idx="9">
                    <c:v>6.4881748242839876E-2</c:v>
                  </c:pt>
                  <c:pt idx="10">
                    <c:v>6.7211134724836086E-2</c:v>
                  </c:pt>
                  <c:pt idx="11">
                    <c:v>6.8595578188789474E-2</c:v>
                  </c:pt>
                  <c:pt idx="12">
                    <c:v>7.6052256772779714E-2</c:v>
                  </c:pt>
                  <c:pt idx="13">
                    <c:v>7.6880119058071017E-2</c:v>
                  </c:pt>
                  <c:pt idx="14">
                    <c:v>7.631486217680461E-2</c:v>
                  </c:pt>
                  <c:pt idx="15">
                    <c:v>7.7994091975948976E-2</c:v>
                  </c:pt>
                </c:numCache>
              </c:numRef>
            </c:minus>
            <c:spPr>
              <a:noFill/>
              <a:ln w="9525" cap="flat" cmpd="sng" algn="ctr">
                <a:solidFill>
                  <a:schemeClr val="tx1">
                    <a:lumMod val="65000"/>
                    <a:lumOff val="35000"/>
                  </a:schemeClr>
                </a:solidFill>
                <a:round/>
              </a:ln>
              <a:effectLst/>
            </c:spPr>
          </c:errBars>
          <c:xVal>
            <c:numRef>
              <c:f>'R9.S.Ds.K'!$E$37:$E$52</c:f>
              <c:numCache>
                <c:formatCode>#,##0</c:formatCode>
                <c:ptCount val="16"/>
                <c:pt idx="0">
                  <c:v>5</c:v>
                </c:pt>
                <c:pt idx="1">
                  <c:v>6</c:v>
                </c:pt>
                <c:pt idx="2">
                  <c:v>7</c:v>
                </c:pt>
                <c:pt idx="3">
                  <c:v>8</c:v>
                </c:pt>
                <c:pt idx="4">
                  <c:v>9</c:v>
                </c:pt>
                <c:pt idx="5">
                  <c:v>10</c:v>
                </c:pt>
                <c:pt idx="6">
                  <c:v>11</c:v>
                </c:pt>
                <c:pt idx="7">
                  <c:v>12</c:v>
                </c:pt>
                <c:pt idx="8">
                  <c:v>13</c:v>
                </c:pt>
                <c:pt idx="9">
                  <c:v>14</c:v>
                </c:pt>
                <c:pt idx="10">
                  <c:v>15</c:v>
                </c:pt>
                <c:pt idx="11">
                  <c:v>16</c:v>
                </c:pt>
                <c:pt idx="12">
                  <c:v>17</c:v>
                </c:pt>
                <c:pt idx="13">
                  <c:v>18</c:v>
                </c:pt>
                <c:pt idx="14">
                  <c:v>19</c:v>
                </c:pt>
                <c:pt idx="15">
                  <c:v>20</c:v>
                </c:pt>
              </c:numCache>
            </c:numRef>
          </c:xVal>
          <c:yVal>
            <c:numRef>
              <c:f>'R9.S.Ds.K'!$K$37:$K$52</c:f>
              <c:numCache>
                <c:formatCode>#,##0.0000</c:formatCode>
                <c:ptCount val="16"/>
                <c:pt idx="0">
                  <c:v>5.3236723330611877</c:v>
                </c:pt>
                <c:pt idx="1">
                  <c:v>6.7202837637698938</c:v>
                </c:pt>
                <c:pt idx="2">
                  <c:v>7.7477689636389364</c:v>
                </c:pt>
                <c:pt idx="3">
                  <c:v>8.4863014975253961</c:v>
                </c:pt>
                <c:pt idx="4">
                  <c:v>9.1251436268401491</c:v>
                </c:pt>
                <c:pt idx="5">
                  <c:v>9.5683427979254638</c:v>
                </c:pt>
                <c:pt idx="6">
                  <c:v>9.8653076769082961</c:v>
                </c:pt>
                <c:pt idx="7">
                  <c:v>10.272573300015182</c:v>
                </c:pt>
                <c:pt idx="8">
                  <c:v>10.469655427496431</c:v>
                </c:pt>
                <c:pt idx="9">
                  <c:v>10.824944904474535</c:v>
                </c:pt>
                <c:pt idx="10">
                  <c:v>11.015490808016253</c:v>
                </c:pt>
                <c:pt idx="11">
                  <c:v>11.263888030035327</c:v>
                </c:pt>
                <c:pt idx="12">
                  <c:v>11.618858451019356</c:v>
                </c:pt>
                <c:pt idx="13">
                  <c:v>11.908894006911094</c:v>
                </c:pt>
                <c:pt idx="14">
                  <c:v>11.995120404155713</c:v>
                </c:pt>
                <c:pt idx="15">
                  <c:v>12.10654359279421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7032-4619-AB35-AB14AA56BCE4}"/>
            </c:ext>
          </c:extLst>
        </c:ser>
        <c:ser>
          <c:idx val="3"/>
          <c:order val="3"/>
          <c:tx>
            <c:v>Codebook 4</c:v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errBars>
            <c:errDir val="x"/>
            <c:errBarType val="both"/>
            <c:errValType val="stdErr"/>
            <c:noEndCap val="0"/>
            <c:spPr>
              <a:noFill/>
              <a:ln w="9525" cap="flat" cmpd="sng" algn="ctr">
                <a:noFill/>
                <a:round/>
              </a:ln>
              <a:effectLst/>
            </c:spPr>
          </c:errBars>
          <c:errBars>
            <c:errDir val="y"/>
            <c:errBarType val="both"/>
            <c:errValType val="cust"/>
            <c:noEndCap val="0"/>
            <c:plus>
              <c:numRef>
                <c:f>'R9.S.Ds.K'!$O$54:$O$69</c:f>
                <c:numCache>
                  <c:formatCode>General</c:formatCode>
                  <c:ptCount val="16"/>
                  <c:pt idx="0">
                    <c:v>4.904369685852572E-2</c:v>
                  </c:pt>
                  <c:pt idx="1">
                    <c:v>8.1180467164520209E-2</c:v>
                  </c:pt>
                  <c:pt idx="2">
                    <c:v>0.11620456229889697</c:v>
                  </c:pt>
                  <c:pt idx="3">
                    <c:v>0.14493445007155081</c:v>
                  </c:pt>
                  <c:pt idx="4">
                    <c:v>0.16429173683292575</c:v>
                  </c:pt>
                  <c:pt idx="5">
                    <c:v>0.2009364825012554</c:v>
                  </c:pt>
                  <c:pt idx="6">
                    <c:v>0.21567430666157961</c:v>
                  </c:pt>
                  <c:pt idx="7">
                    <c:v>0.22574338758888679</c:v>
                  </c:pt>
                  <c:pt idx="8">
                    <c:v>0.23018619621030112</c:v>
                  </c:pt>
                  <c:pt idx="9">
                    <c:v>0.24371100331271833</c:v>
                  </c:pt>
                  <c:pt idx="10">
                    <c:v>0.25491136863916708</c:v>
                  </c:pt>
                  <c:pt idx="11">
                    <c:v>0.27749113630565425</c:v>
                  </c:pt>
                  <c:pt idx="12">
                    <c:v>0.2920395384404042</c:v>
                  </c:pt>
                  <c:pt idx="13">
                    <c:v>0.30404836497277365</c:v>
                  </c:pt>
                  <c:pt idx="14">
                    <c:v>0.33328911638444758</c:v>
                  </c:pt>
                  <c:pt idx="15">
                    <c:v>0.32915513321242784</c:v>
                  </c:pt>
                </c:numCache>
              </c:numRef>
            </c:plus>
            <c:minus>
              <c:numRef>
                <c:f>'R9.S.Ds.K'!$N$54:$N$69</c:f>
                <c:numCache>
                  <c:formatCode>General</c:formatCode>
                  <c:ptCount val="16"/>
                  <c:pt idx="0">
                    <c:v>4.8496038505921213E-2</c:v>
                  </c:pt>
                  <c:pt idx="1">
                    <c:v>7.9690804747935218E-2</c:v>
                  </c:pt>
                  <c:pt idx="2">
                    <c:v>0.11317612271090205</c:v>
                  </c:pt>
                  <c:pt idx="3">
                    <c:v>0.14025343721769268</c:v>
                  </c:pt>
                  <c:pt idx="4">
                    <c:v>0.1583025318906035</c:v>
                  </c:pt>
                  <c:pt idx="5">
                    <c:v>0.19204935555478642</c:v>
                  </c:pt>
                  <c:pt idx="6">
                    <c:v>0.20546856621402654</c:v>
                  </c:pt>
                  <c:pt idx="7">
                    <c:v>0.21458691478464331</c:v>
                  </c:pt>
                  <c:pt idx="8">
                    <c:v>0.21859744610413756</c:v>
                  </c:pt>
                  <c:pt idx="9">
                    <c:v>0.23075842290205095</c:v>
                  </c:pt>
                  <c:pt idx="10">
                    <c:v>0.24077511713790045</c:v>
                  </c:pt>
                  <c:pt idx="11">
                    <c:v>0.26082074456804172</c:v>
                  </c:pt>
                  <c:pt idx="12">
                    <c:v>0.27363272113032977</c:v>
                  </c:pt>
                  <c:pt idx="13">
                    <c:v>0.2841476705760968</c:v>
                  </c:pt>
                  <c:pt idx="14">
                    <c:v>0.30952455174065108</c:v>
                  </c:pt>
                  <c:pt idx="15">
                    <c:v>0.30595616053378549</c:v>
                  </c:pt>
                </c:numCache>
              </c:numRef>
            </c:minus>
            <c:spPr>
              <a:noFill/>
              <a:ln w="9525" cap="flat" cmpd="sng" algn="ctr">
                <a:solidFill>
                  <a:schemeClr val="tx1">
                    <a:lumMod val="65000"/>
                    <a:lumOff val="35000"/>
                  </a:schemeClr>
                </a:solidFill>
                <a:round/>
              </a:ln>
              <a:effectLst/>
            </c:spPr>
          </c:errBars>
          <c:xVal>
            <c:numRef>
              <c:f>'R9.S.Ds.K'!$E$54:$E$69</c:f>
              <c:numCache>
                <c:formatCode>#,##0</c:formatCode>
                <c:ptCount val="16"/>
                <c:pt idx="0">
                  <c:v>5</c:v>
                </c:pt>
                <c:pt idx="1">
                  <c:v>6</c:v>
                </c:pt>
                <c:pt idx="2">
                  <c:v>7</c:v>
                </c:pt>
                <c:pt idx="3">
                  <c:v>8</c:v>
                </c:pt>
                <c:pt idx="4">
                  <c:v>9</c:v>
                </c:pt>
                <c:pt idx="5">
                  <c:v>10</c:v>
                </c:pt>
                <c:pt idx="6">
                  <c:v>11</c:v>
                </c:pt>
                <c:pt idx="7">
                  <c:v>12</c:v>
                </c:pt>
                <c:pt idx="8">
                  <c:v>13</c:v>
                </c:pt>
                <c:pt idx="9">
                  <c:v>14</c:v>
                </c:pt>
                <c:pt idx="10">
                  <c:v>15</c:v>
                </c:pt>
                <c:pt idx="11">
                  <c:v>16</c:v>
                </c:pt>
                <c:pt idx="12">
                  <c:v>17</c:v>
                </c:pt>
                <c:pt idx="13">
                  <c:v>18</c:v>
                </c:pt>
                <c:pt idx="14">
                  <c:v>19</c:v>
                </c:pt>
                <c:pt idx="15">
                  <c:v>20</c:v>
                </c:pt>
              </c:numCache>
            </c:numRef>
          </c:xVal>
          <c:yVal>
            <c:numRef>
              <c:f>'R9.S.Ds.K'!$K$54:$K$69</c:f>
              <c:numCache>
                <c:formatCode>#,##0.0000</c:formatCode>
                <c:ptCount val="16"/>
                <c:pt idx="0">
                  <c:v>6.1234327137985769</c:v>
                </c:pt>
                <c:pt idx="1">
                  <c:v>7.8002274325537719</c:v>
                </c:pt>
                <c:pt idx="2">
                  <c:v>8.912658913976351</c:v>
                </c:pt>
                <c:pt idx="3">
                  <c:v>9.642368303350402</c:v>
                </c:pt>
                <c:pt idx="4">
                  <c:v>10.234207813598902</c:v>
                </c:pt>
                <c:pt idx="5">
                  <c:v>10.451145674500641</c:v>
                </c:pt>
                <c:pt idx="6">
                  <c:v>10.592345643687825</c:v>
                </c:pt>
                <c:pt idx="7">
                  <c:v>10.805732167325303</c:v>
                </c:pt>
                <c:pt idx="8">
                  <c:v>11.024645416842425</c:v>
                </c:pt>
                <c:pt idx="9">
                  <c:v>10.998150036514636</c:v>
                </c:pt>
                <c:pt idx="10">
                  <c:v>11.121015119031277</c:v>
                </c:pt>
                <c:pt idx="11">
                  <c:v>11.34205337635577</c:v>
                </c:pt>
                <c:pt idx="12">
                  <c:v>11.588491745080356</c:v>
                </c:pt>
                <c:pt idx="13">
                  <c:v>11.865302121703245</c:v>
                </c:pt>
                <c:pt idx="14">
                  <c:v>11.602078155546707</c:v>
                </c:pt>
                <c:pt idx="15">
                  <c:v>11.727384522305925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7032-4619-AB35-AB14AA56BCE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78679920"/>
        <c:axId val="802641424"/>
      </c:scatterChart>
      <c:valAx>
        <c:axId val="578679920"/>
        <c:scaling>
          <c:orientation val="minMax"/>
          <c:max val="21"/>
          <c:min val="4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AU"/>
                  <a:t>Mean dwell time, </a:t>
                </a:r>
                <a:r>
                  <a:rPr lang="en-AU" i="1"/>
                  <a:t>K</a:t>
                </a:r>
                <a:endParaRPr lang="en-AU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#,##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02641424"/>
        <c:crosses val="autoZero"/>
        <c:crossBetween val="midCat"/>
        <c:majorUnit val="2"/>
        <c:minorUnit val="1"/>
      </c:valAx>
      <c:valAx>
        <c:axId val="802641424"/>
        <c:scaling>
          <c:orientation val="minMax"/>
          <c:min val="2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AU"/>
                  <a:t>Q</a:t>
                </a:r>
                <a:r>
                  <a:rPr lang="en-AU" baseline="0"/>
                  <a:t>uality score, </a:t>
                </a:r>
                <a:r>
                  <a:rPr lang="en-AU" i="1" baseline="0"/>
                  <a:t>Q</a:t>
                </a:r>
                <a:endParaRPr lang="en-AU" i="1"/>
              </a:p>
            </c:rich>
          </c:tx>
          <c:layout>
            <c:manualLayout>
              <c:xMode val="edge"/>
              <c:yMode val="edge"/>
              <c:x val="1.2630035540302917E-2"/>
              <c:y val="0.3506217297161231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#,##0.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78679920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7715254705504232"/>
          <c:y val="0.34878351652668288"/>
          <c:w val="0.21228217619277828"/>
          <c:h val="0.3436151953612574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6350" cap="flat" cmpd="sng" algn="ctr">
      <a:solidFill>
        <a:schemeClr val="tx1"/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AU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Quality score vs. </a:t>
            </a:r>
            <a:r>
              <a:rPr lang="en-AU" sz="1400" b="0" i="1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cs typeface="Times New Roman" panose="02020603050405020304" pitchFamily="18" charset="0"/>
              </a:rPr>
              <a:t>σ</a:t>
            </a:r>
            <a:r>
              <a:rPr lang="en-AU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cs typeface="Times New Roman" panose="02020603050405020304" pitchFamily="18" charset="0"/>
              </a:rPr>
              <a:t> : Dorado R9 'sup'</a:t>
            </a:r>
            <a:endParaRPr lang="en-AU" sz="1400" b="0" i="0" u="none" strike="noStrike" kern="1200" spc="0" baseline="0">
              <a:solidFill>
                <a:sysClr val="windowText" lastClr="000000">
                  <a:lumMod val="65000"/>
                  <a:lumOff val="35000"/>
                </a:sysClr>
              </a:solidFill>
            </a:endParaRPr>
          </a:p>
        </c:rich>
      </c:tx>
      <c:layout>
        <c:manualLayout>
          <c:xMode val="edge"/>
          <c:yMode val="edge"/>
          <c:x val="0.2371309731511505"/>
          <c:y val="3.2615699591851961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1368158226066076"/>
          <c:y val="0.15826550596557501"/>
          <c:w val="0.66061018822016926"/>
          <c:h val="0.65642128030386226"/>
        </c:manualLayout>
      </c:layout>
      <c:scatterChart>
        <c:scatterStyle val="lineMarker"/>
        <c:varyColors val="0"/>
        <c:ser>
          <c:idx val="1"/>
          <c:order val="0"/>
          <c:tx>
            <c:v>Codebook 1</c:v>
          </c:tx>
          <c:spPr>
            <a:ln w="19050" cap="rnd">
              <a:solidFill>
                <a:srgbClr val="FF0000"/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rgbClr val="FF0000"/>
              </a:solidFill>
              <a:ln w="9525">
                <a:solidFill>
                  <a:srgbClr val="FF0000"/>
                </a:solidFill>
              </a:ln>
              <a:effectLst/>
            </c:spPr>
          </c:marker>
          <c:errBars>
            <c:errDir val="x"/>
            <c:errBarType val="both"/>
            <c:errValType val="stdErr"/>
            <c:noEndCap val="0"/>
            <c:spPr>
              <a:noFill/>
              <a:ln w="9525" cap="flat" cmpd="sng" algn="ctr">
                <a:noFill/>
                <a:round/>
              </a:ln>
              <a:effectLst/>
            </c:spPr>
          </c:errBars>
          <c:errBars>
            <c:errDir val="y"/>
            <c:errBarType val="both"/>
            <c:errValType val="cust"/>
            <c:noEndCap val="0"/>
            <c:plus>
              <c:numRef>
                <c:f>'R9.K.Ds.sd'!$O$3:$O$23</c:f>
                <c:numCache>
                  <c:formatCode>General</c:formatCode>
                  <c:ptCount val="21"/>
                  <c:pt idx="0">
                    <c:v>0.19471523794213308</c:v>
                  </c:pt>
                  <c:pt idx="1">
                    <c:v>0.19509158969410745</c:v>
                  </c:pt>
                  <c:pt idx="2">
                    <c:v>0.20566429423171151</c:v>
                  </c:pt>
                  <c:pt idx="3">
                    <c:v>0.23368264807370309</c:v>
                  </c:pt>
                  <c:pt idx="4">
                    <c:v>0.22694481168005609</c:v>
                  </c:pt>
                  <c:pt idx="5">
                    <c:v>0.21407501068120105</c:v>
                  </c:pt>
                  <c:pt idx="6">
                    <c:v>0.21990332676116431</c:v>
                  </c:pt>
                  <c:pt idx="7">
                    <c:v>0.26653560523575592</c:v>
                  </c:pt>
                  <c:pt idx="8">
                    <c:v>0.2232305215817334</c:v>
                  </c:pt>
                  <c:pt idx="9">
                    <c:v>0.26223173333957384</c:v>
                  </c:pt>
                  <c:pt idx="10">
                    <c:v>0.21973328590017971</c:v>
                  </c:pt>
                  <c:pt idx="11">
                    <c:v>0.25134540083787904</c:v>
                  </c:pt>
                  <c:pt idx="12">
                    <c:v>0.22399133067983001</c:v>
                  </c:pt>
                  <c:pt idx="13">
                    <c:v>0.19895625988972476</c:v>
                  </c:pt>
                  <c:pt idx="14">
                    <c:v>0.20405132957921968</c:v>
                  </c:pt>
                  <c:pt idx="15">
                    <c:v>0.17642662770152118</c:v>
                  </c:pt>
                  <c:pt idx="16">
                    <c:v>0.1656120670235941</c:v>
                  </c:pt>
                  <c:pt idx="17">
                    <c:v>0.15485225032433991</c:v>
                  </c:pt>
                  <c:pt idx="18">
                    <c:v>0.12939071597467056</c:v>
                  </c:pt>
                  <c:pt idx="19">
                    <c:v>0.10899536422254119</c:v>
                  </c:pt>
                  <c:pt idx="20">
                    <c:v>9.640337284238143E-2</c:v>
                  </c:pt>
                </c:numCache>
              </c:numRef>
            </c:plus>
            <c:minus>
              <c:numRef>
                <c:f>'R9.K.Ds.sd'!$N$3:$N$23</c:f>
                <c:numCache>
                  <c:formatCode>General</c:formatCode>
                  <c:ptCount val="21"/>
                  <c:pt idx="0">
                    <c:v>0.18635854276283137</c:v>
                  </c:pt>
                  <c:pt idx="1">
                    <c:v>0.18670325008692057</c:v>
                  </c:pt>
                  <c:pt idx="2">
                    <c:v>0.1963636470858825</c:v>
                  </c:pt>
                  <c:pt idx="3">
                    <c:v>0.22174821703792613</c:v>
                  </c:pt>
                  <c:pt idx="4">
                    <c:v>0.21567221270337456</c:v>
                  </c:pt>
                  <c:pt idx="5">
                    <c:v>0.20401656451772077</c:v>
                  </c:pt>
                  <c:pt idx="6">
                    <c:v>0.20930318577233109</c:v>
                  </c:pt>
                  <c:pt idx="7">
                    <c:v>0.25111932876271936</c:v>
                  </c:pt>
                  <c:pt idx="8">
                    <c:v>0.2123150863181742</c:v>
                  </c:pt>
                  <c:pt idx="9">
                    <c:v>0.24729548418048175</c:v>
                  </c:pt>
                  <c:pt idx="10">
                    <c:v>0.20914914033184573</c:v>
                  </c:pt>
                  <c:pt idx="11">
                    <c:v>0.23759131360819907</c:v>
                  </c:pt>
                  <c:pt idx="12">
                    <c:v>0.21300318177677724</c:v>
                  </c:pt>
                  <c:pt idx="13">
                    <c:v>0.19023966246580049</c:v>
                  </c:pt>
                  <c:pt idx="14">
                    <c:v>0.1948927704534853</c:v>
                  </c:pt>
                  <c:pt idx="15">
                    <c:v>0.1695384335294241</c:v>
                  </c:pt>
                  <c:pt idx="16">
                    <c:v>0.1595279825738336</c:v>
                  </c:pt>
                  <c:pt idx="17">
                    <c:v>0.14952039836954878</c:v>
                  </c:pt>
                  <c:pt idx="18">
                    <c:v>0.12564700643814231</c:v>
                  </c:pt>
                  <c:pt idx="19">
                    <c:v>0.10632673383892666</c:v>
                  </c:pt>
                  <c:pt idx="20">
                    <c:v>9.4309827773496835E-2</c:v>
                  </c:pt>
                </c:numCache>
              </c:numRef>
            </c:minus>
            <c:spPr>
              <a:noFill/>
              <a:ln w="9525" cap="flat" cmpd="sng" algn="ctr">
                <a:solidFill>
                  <a:schemeClr val="tx1">
                    <a:lumMod val="65000"/>
                    <a:lumOff val="35000"/>
                  </a:schemeClr>
                </a:solidFill>
                <a:round/>
              </a:ln>
              <a:effectLst/>
            </c:spPr>
          </c:errBars>
          <c:xVal>
            <c:numRef>
              <c:f>'R9.K.Ds.sd'!$D$3:$D$23</c:f>
              <c:numCache>
                <c:formatCode>#,##0.00</c:formatCode>
                <c:ptCount val="21"/>
                <c:pt idx="0">
                  <c:v>0</c:v>
                </c:pt>
                <c:pt idx="1">
                  <c:v>0.01</c:v>
                </c:pt>
                <c:pt idx="2">
                  <c:v>0.02</c:v>
                </c:pt>
                <c:pt idx="3">
                  <c:v>0.03</c:v>
                </c:pt>
                <c:pt idx="4">
                  <c:v>0.04</c:v>
                </c:pt>
                <c:pt idx="5">
                  <c:v>0.05</c:v>
                </c:pt>
                <c:pt idx="6">
                  <c:v>0.06</c:v>
                </c:pt>
                <c:pt idx="7">
                  <c:v>7.0000000000000007E-2</c:v>
                </c:pt>
                <c:pt idx="8">
                  <c:v>0.08</c:v>
                </c:pt>
                <c:pt idx="9">
                  <c:v>0.09</c:v>
                </c:pt>
                <c:pt idx="10">
                  <c:v>0.1</c:v>
                </c:pt>
                <c:pt idx="11">
                  <c:v>0.11</c:v>
                </c:pt>
                <c:pt idx="12">
                  <c:v>0.12</c:v>
                </c:pt>
                <c:pt idx="13">
                  <c:v>0.13</c:v>
                </c:pt>
                <c:pt idx="14">
                  <c:v>0.14000000000000001</c:v>
                </c:pt>
                <c:pt idx="15">
                  <c:v>0.15</c:v>
                </c:pt>
                <c:pt idx="16">
                  <c:v>0.16</c:v>
                </c:pt>
                <c:pt idx="17">
                  <c:v>0.17</c:v>
                </c:pt>
                <c:pt idx="18">
                  <c:v>0.18</c:v>
                </c:pt>
                <c:pt idx="19">
                  <c:v>0.19</c:v>
                </c:pt>
                <c:pt idx="20">
                  <c:v>0.2</c:v>
                </c:pt>
              </c:numCache>
            </c:numRef>
          </c:xVal>
          <c:yVal>
            <c:numRef>
              <c:f>'R9.K.Ds.sd'!$K$3:$K$23</c:f>
              <c:numCache>
                <c:formatCode>#,##0.0000</c:formatCode>
                <c:ptCount val="21"/>
                <c:pt idx="0">
                  <c:v>7.6598918241282066</c:v>
                </c:pt>
                <c:pt idx="1">
                  <c:v>7.6015851261721057</c:v>
                </c:pt>
                <c:pt idx="2">
                  <c:v>7.7875968866455274</c:v>
                </c:pt>
                <c:pt idx="3">
                  <c:v>7.921413185303825</c:v>
                </c:pt>
                <c:pt idx="4">
                  <c:v>8.2959158827468205</c:v>
                </c:pt>
                <c:pt idx="5">
                  <c:v>8.6159203108252971</c:v>
                </c:pt>
                <c:pt idx="6">
                  <c:v>8.6848826522962561</c:v>
                </c:pt>
                <c:pt idx="7">
                  <c:v>8.4214045466843395</c:v>
                </c:pt>
                <c:pt idx="8">
                  <c:v>8.6064574083109697</c:v>
                </c:pt>
                <c:pt idx="9">
                  <c:v>8.1687257129860047</c:v>
                </c:pt>
                <c:pt idx="10">
                  <c:v>8.1601878108540813</c:v>
                </c:pt>
                <c:pt idx="11">
                  <c:v>8.0074776951020894</c:v>
                </c:pt>
                <c:pt idx="12">
                  <c:v>7.863937108492955</c:v>
                </c:pt>
                <c:pt idx="13">
                  <c:v>7.5683788489894859</c:v>
                </c:pt>
                <c:pt idx="14">
                  <c:v>7.1987710369769244</c:v>
                </c:pt>
                <c:pt idx="15">
                  <c:v>6.6783095354334678</c:v>
                </c:pt>
                <c:pt idx="16">
                  <c:v>6.2847036790070545</c:v>
                </c:pt>
                <c:pt idx="17">
                  <c:v>5.8563955088014241</c:v>
                </c:pt>
                <c:pt idx="18">
                  <c:v>5.4244609167818929</c:v>
                </c:pt>
                <c:pt idx="19">
                  <c:v>4.8941031158935653</c:v>
                </c:pt>
                <c:pt idx="20">
                  <c:v>4.6396791124626633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1394-45BF-8811-971BBB0A30E5}"/>
            </c:ext>
          </c:extLst>
        </c:ser>
        <c:ser>
          <c:idx val="0"/>
          <c:order val="1"/>
          <c:tx>
            <c:v>Codebook 2</c:v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errBars>
            <c:errDir val="x"/>
            <c:errBarType val="both"/>
            <c:errValType val="stdErr"/>
            <c:noEndCap val="0"/>
            <c:spPr>
              <a:noFill/>
              <a:ln w="9525" cap="flat" cmpd="sng" algn="ctr">
                <a:noFill/>
                <a:round/>
              </a:ln>
              <a:effectLst/>
            </c:spPr>
          </c:errBars>
          <c:errBars>
            <c:errDir val="y"/>
            <c:errBarType val="both"/>
            <c:errValType val="cust"/>
            <c:noEndCap val="0"/>
            <c:plus>
              <c:numRef>
                <c:f>'R9.K.Ds.sd'!$O$25:$O$45</c:f>
                <c:numCache>
                  <c:formatCode>General</c:formatCode>
                  <c:ptCount val="21"/>
                  <c:pt idx="0">
                    <c:v>9.4173784145820782E-2</c:v>
                  </c:pt>
                  <c:pt idx="1">
                    <c:v>0.10384960708614521</c:v>
                  </c:pt>
                  <c:pt idx="2">
                    <c:v>0.10819759268699336</c:v>
                  </c:pt>
                  <c:pt idx="3">
                    <c:v>0.11470111079698597</c:v>
                  </c:pt>
                  <c:pt idx="4">
                    <c:v>0.11700934793489459</c:v>
                  </c:pt>
                  <c:pt idx="5">
                    <c:v>0.12143314690259999</c:v>
                  </c:pt>
                  <c:pt idx="6">
                    <c:v>0.11640220376250987</c:v>
                  </c:pt>
                  <c:pt idx="7">
                    <c:v>0.10904579296925299</c:v>
                  </c:pt>
                  <c:pt idx="8">
                    <c:v>0.10258433483690865</c:v>
                  </c:pt>
                  <c:pt idx="9">
                    <c:v>9.4954813327058574E-2</c:v>
                  </c:pt>
                  <c:pt idx="10">
                    <c:v>0.11558565379352537</c:v>
                  </c:pt>
                  <c:pt idx="11">
                    <c:v>8.5629541882919824E-2</c:v>
                  </c:pt>
                  <c:pt idx="12">
                    <c:v>7.8848466249290539E-2</c:v>
                  </c:pt>
                  <c:pt idx="13">
                    <c:v>8.783454683785763E-2</c:v>
                  </c:pt>
                  <c:pt idx="14">
                    <c:v>7.5707348456841572E-2</c:v>
                  </c:pt>
                  <c:pt idx="15">
                    <c:v>6.8805699438522439E-2</c:v>
                  </c:pt>
                  <c:pt idx="16">
                    <c:v>6.6703734498930523E-2</c:v>
                  </c:pt>
                  <c:pt idx="17">
                    <c:v>6.3979694084938643E-2</c:v>
                  </c:pt>
                  <c:pt idx="18">
                    <c:v>7.3766012306636597E-2</c:v>
                  </c:pt>
                  <c:pt idx="19">
                    <c:v>6.0758459431483836E-2</c:v>
                  </c:pt>
                  <c:pt idx="20">
                    <c:v>5.0728283815784536E-2</c:v>
                  </c:pt>
                </c:numCache>
              </c:numRef>
            </c:plus>
            <c:minus>
              <c:numRef>
                <c:f>'R9.K.Ds.sd'!$N$25:$N$45</c:f>
                <c:numCache>
                  <c:formatCode>General</c:formatCode>
                  <c:ptCount val="21"/>
                  <c:pt idx="0">
                    <c:v>9.2174956677886222E-2</c:v>
                  </c:pt>
                  <c:pt idx="1">
                    <c:v>0.1014242125134448</c:v>
                  </c:pt>
                  <c:pt idx="2">
                    <c:v>0.10556741498876754</c:v>
                  </c:pt>
                  <c:pt idx="3">
                    <c:v>0.11174953704220592</c:v>
                  </c:pt>
                  <c:pt idx="4">
                    <c:v>0.11393936732165422</c:v>
                  </c:pt>
                  <c:pt idx="5">
                    <c:v>0.11812990544977886</c:v>
                  </c:pt>
                  <c:pt idx="6">
                    <c:v>0.1133635879445638</c:v>
                  </c:pt>
                  <c:pt idx="7">
                    <c:v>0.10637472276645177</c:v>
                  </c:pt>
                  <c:pt idx="8">
                    <c:v>0.10021700973909731</c:v>
                  </c:pt>
                  <c:pt idx="9">
                    <c:v>9.2923050262417206E-2</c:v>
                  </c:pt>
                  <c:pt idx="10">
                    <c:v>0.11258897322429462</c:v>
                  </c:pt>
                  <c:pt idx="11">
                    <c:v>8.3973784003507745E-2</c:v>
                  </c:pt>
                  <c:pt idx="12">
                    <c:v>7.7442420111720978E-2</c:v>
                  </c:pt>
                  <c:pt idx="13">
                    <c:v>8.6093282009581884E-2</c:v>
                  </c:pt>
                  <c:pt idx="14">
                    <c:v>7.4410178503573121E-2</c:v>
                  </c:pt>
                  <c:pt idx="15">
                    <c:v>6.7732583400551327E-2</c:v>
                  </c:pt>
                  <c:pt idx="16">
                    <c:v>6.5694703283676326E-2</c:v>
                  </c:pt>
                  <c:pt idx="17">
                    <c:v>6.3050821093947995E-2</c:v>
                  </c:pt>
                  <c:pt idx="18">
                    <c:v>7.2533975329900358E-2</c:v>
                  </c:pt>
                  <c:pt idx="19">
                    <c:v>5.9920153868969983E-2</c:v>
                  </c:pt>
                  <c:pt idx="20">
                    <c:v>5.0142580850301322E-2</c:v>
                  </c:pt>
                </c:numCache>
              </c:numRef>
            </c:minus>
            <c:spPr>
              <a:noFill/>
              <a:ln w="9525" cap="flat" cmpd="sng" algn="ctr">
                <a:solidFill>
                  <a:schemeClr val="tx1">
                    <a:lumMod val="65000"/>
                    <a:lumOff val="35000"/>
                  </a:schemeClr>
                </a:solidFill>
                <a:round/>
              </a:ln>
              <a:effectLst/>
            </c:spPr>
          </c:errBars>
          <c:xVal>
            <c:numRef>
              <c:f>'R9.K.Ds.sd'!$D$25:$D$45</c:f>
              <c:numCache>
                <c:formatCode>#,##0.00</c:formatCode>
                <c:ptCount val="21"/>
                <c:pt idx="0">
                  <c:v>0</c:v>
                </c:pt>
                <c:pt idx="1">
                  <c:v>0.01</c:v>
                </c:pt>
                <c:pt idx="2">
                  <c:v>0.02</c:v>
                </c:pt>
                <c:pt idx="3">
                  <c:v>0.03</c:v>
                </c:pt>
                <c:pt idx="4">
                  <c:v>0.04</c:v>
                </c:pt>
                <c:pt idx="5">
                  <c:v>0.05</c:v>
                </c:pt>
                <c:pt idx="6">
                  <c:v>0.06</c:v>
                </c:pt>
                <c:pt idx="7">
                  <c:v>7.0000000000000007E-2</c:v>
                </c:pt>
                <c:pt idx="8">
                  <c:v>0.08</c:v>
                </c:pt>
                <c:pt idx="9">
                  <c:v>0.09</c:v>
                </c:pt>
                <c:pt idx="10">
                  <c:v>0.1</c:v>
                </c:pt>
                <c:pt idx="11">
                  <c:v>0.11</c:v>
                </c:pt>
                <c:pt idx="12">
                  <c:v>0.12</c:v>
                </c:pt>
                <c:pt idx="13">
                  <c:v>0.13</c:v>
                </c:pt>
                <c:pt idx="14">
                  <c:v>0.14000000000000001</c:v>
                </c:pt>
                <c:pt idx="15">
                  <c:v>0.15</c:v>
                </c:pt>
                <c:pt idx="16">
                  <c:v>0.16</c:v>
                </c:pt>
                <c:pt idx="17">
                  <c:v>0.17</c:v>
                </c:pt>
                <c:pt idx="18">
                  <c:v>0.18</c:v>
                </c:pt>
                <c:pt idx="19">
                  <c:v>0.19</c:v>
                </c:pt>
                <c:pt idx="20">
                  <c:v>0.2</c:v>
                </c:pt>
              </c:numCache>
            </c:numRef>
          </c:xVal>
          <c:yVal>
            <c:numRef>
              <c:f>'R9.K.Ds.sd'!$K$25:$K$45</c:f>
              <c:numCache>
                <c:formatCode>#,##0.0000</c:formatCode>
                <c:ptCount val="21"/>
                <c:pt idx="0">
                  <c:v>7.8573029433161947</c:v>
                </c:pt>
                <c:pt idx="1">
                  <c:v>8.0414645348622891</c:v>
                </c:pt>
                <c:pt idx="2">
                  <c:v>8.2174267918781112</c:v>
                </c:pt>
                <c:pt idx="3">
                  <c:v>8.5196320127643759</c:v>
                </c:pt>
                <c:pt idx="4">
                  <c:v>8.8806572366731853</c:v>
                </c:pt>
                <c:pt idx="5">
                  <c:v>9.2726006624771973</c:v>
                </c:pt>
                <c:pt idx="6">
                  <c:v>9.6477044364978788</c:v>
                </c:pt>
                <c:pt idx="7">
                  <c:v>9.7963871735229215</c:v>
                </c:pt>
                <c:pt idx="8">
                  <c:v>9.6617430604668968</c:v>
                </c:pt>
                <c:pt idx="9">
                  <c:v>9.6085037199032239</c:v>
                </c:pt>
                <c:pt idx="10">
                  <c:v>9.5052354561621026</c:v>
                </c:pt>
                <c:pt idx="11">
                  <c:v>9.3635395150928833</c:v>
                </c:pt>
                <c:pt idx="12">
                  <c:v>9.1847267375519532</c:v>
                </c:pt>
                <c:pt idx="13">
                  <c:v>8.8538901576782685</c:v>
                </c:pt>
                <c:pt idx="14">
                  <c:v>8.4985783815144131</c:v>
                </c:pt>
                <c:pt idx="15">
                  <c:v>8.0377774330222049</c:v>
                </c:pt>
                <c:pt idx="16">
                  <c:v>7.5617679527358339</c:v>
                </c:pt>
                <c:pt idx="17">
                  <c:v>7.0696909439356297</c:v>
                </c:pt>
                <c:pt idx="18">
                  <c:v>6.4913845725760861</c:v>
                </c:pt>
                <c:pt idx="19">
                  <c:v>5.9425533499803329</c:v>
                </c:pt>
                <c:pt idx="20">
                  <c:v>5.5937949442315151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1394-45BF-8811-971BBB0A30E5}"/>
            </c:ext>
          </c:extLst>
        </c:ser>
        <c:ser>
          <c:idx val="2"/>
          <c:order val="2"/>
          <c:tx>
            <c:v>Codebook 3</c:v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errBars>
            <c:errDir val="x"/>
            <c:errBarType val="both"/>
            <c:errValType val="stdErr"/>
            <c:noEndCap val="0"/>
            <c:spPr>
              <a:noFill/>
              <a:ln w="9525" cap="flat" cmpd="sng" algn="ctr">
                <a:noFill/>
                <a:round/>
              </a:ln>
              <a:effectLst/>
            </c:spPr>
          </c:errBars>
          <c:errBars>
            <c:errDir val="y"/>
            <c:errBarType val="both"/>
            <c:errValType val="cust"/>
            <c:noEndCap val="0"/>
            <c:plus>
              <c:numRef>
                <c:f>'R9.K.Ds.sd'!$O$47:$O$67</c:f>
                <c:numCache>
                  <c:formatCode>General</c:formatCode>
                  <c:ptCount val="21"/>
                  <c:pt idx="0">
                    <c:v>0.1212257121304976</c:v>
                  </c:pt>
                  <c:pt idx="1">
                    <c:v>0.13254603371769313</c:v>
                  </c:pt>
                  <c:pt idx="2">
                    <c:v>0.11904917885331123</c:v>
                  </c:pt>
                  <c:pt idx="3">
                    <c:v>0.11892817528364752</c:v>
                  </c:pt>
                  <c:pt idx="4">
                    <c:v>0.11683076837912942</c:v>
                  </c:pt>
                  <c:pt idx="5">
                    <c:v>0.12633918922181842</c:v>
                  </c:pt>
                  <c:pt idx="6">
                    <c:v>0.11055753844348537</c:v>
                  </c:pt>
                  <c:pt idx="7">
                    <c:v>0.10537296403808227</c:v>
                  </c:pt>
                  <c:pt idx="8">
                    <c:v>0.10100529218322762</c:v>
                  </c:pt>
                  <c:pt idx="9">
                    <c:v>9.5653534481801472E-2</c:v>
                  </c:pt>
                  <c:pt idx="10">
                    <c:v>8.9917117588656836E-2</c:v>
                  </c:pt>
                  <c:pt idx="11">
                    <c:v>8.746335603450639E-2</c:v>
                  </c:pt>
                  <c:pt idx="12">
                    <c:v>8.0531814061505003E-2</c:v>
                  </c:pt>
                  <c:pt idx="13">
                    <c:v>7.6103470567913334E-2</c:v>
                  </c:pt>
                  <c:pt idx="14">
                    <c:v>7.5676930599311021E-2</c:v>
                  </c:pt>
                  <c:pt idx="15">
                    <c:v>7.0099075277263445E-2</c:v>
                  </c:pt>
                  <c:pt idx="16">
                    <c:v>7.2561231079738775E-2</c:v>
                  </c:pt>
                  <c:pt idx="17">
                    <c:v>6.23637986229717E-2</c:v>
                  </c:pt>
                  <c:pt idx="18">
                    <c:v>5.6764467409261776E-2</c:v>
                  </c:pt>
                  <c:pt idx="19">
                    <c:v>5.899279350167852E-2</c:v>
                  </c:pt>
                  <c:pt idx="20">
                    <c:v>4.9475902869779098E-2</c:v>
                  </c:pt>
                </c:numCache>
              </c:numRef>
            </c:plus>
            <c:minus>
              <c:numRef>
                <c:f>'R9.K.Ds.sd'!$N$47:$N$67</c:f>
                <c:numCache>
                  <c:formatCode>General</c:formatCode>
                  <c:ptCount val="21"/>
                  <c:pt idx="0">
                    <c:v>0.1179335940857742</c:v>
                  </c:pt>
                  <c:pt idx="1">
                    <c:v>0.12862026651548497</c:v>
                  </c:pt>
                  <c:pt idx="2">
                    <c:v>0.11587267351529107</c:v>
                  </c:pt>
                  <c:pt idx="3">
                    <c:v>0.11575803837175336</c:v>
                  </c:pt>
                  <c:pt idx="4">
                    <c:v>0.1137700293854067</c:v>
                  </c:pt>
                  <c:pt idx="5">
                    <c:v>0.12276755366776726</c:v>
                  </c:pt>
                  <c:pt idx="6">
                    <c:v>0.10781282292270689</c:v>
                  </c:pt>
                  <c:pt idx="7">
                    <c:v>0.10287674382372458</c:v>
                  </c:pt>
                  <c:pt idx="8">
                    <c:v>9.8709472474395099E-2</c:v>
                  </c:pt>
                  <c:pt idx="9">
                    <c:v>9.3592083537300752E-2</c:v>
                  </c:pt>
                  <c:pt idx="10">
                    <c:v>8.8093157047692827E-2</c:v>
                  </c:pt>
                  <c:pt idx="11">
                    <c:v>8.5736633168876253E-2</c:v>
                  </c:pt>
                  <c:pt idx="12">
                    <c:v>7.9065647798435279E-2</c:v>
                  </c:pt>
                  <c:pt idx="13">
                    <c:v>7.4792807954565887E-2</c:v>
                  </c:pt>
                  <c:pt idx="14">
                    <c:v>7.4380793898456865E-2</c:v>
                  </c:pt>
                  <c:pt idx="15">
                    <c:v>6.8985561839623344E-2</c:v>
                  </c:pt>
                  <c:pt idx="16">
                    <c:v>7.1368785483335806E-2</c:v>
                  </c:pt>
                  <c:pt idx="17">
                    <c:v>6.1480930095649811E-2</c:v>
                  </c:pt>
                  <c:pt idx="18">
                    <c:v>5.6032089598009094E-2</c:v>
                  </c:pt>
                  <c:pt idx="19">
                    <c:v>5.8202186710201609E-2</c:v>
                  </c:pt>
                  <c:pt idx="20">
                    <c:v>4.8918604058677317E-2</c:v>
                  </c:pt>
                </c:numCache>
              </c:numRef>
            </c:minus>
            <c:spPr>
              <a:noFill/>
              <a:ln w="9525" cap="flat" cmpd="sng" algn="ctr">
                <a:solidFill>
                  <a:schemeClr val="tx1">
                    <a:lumMod val="65000"/>
                    <a:lumOff val="35000"/>
                  </a:schemeClr>
                </a:solidFill>
                <a:round/>
              </a:ln>
              <a:effectLst/>
            </c:spPr>
          </c:errBars>
          <c:xVal>
            <c:numRef>
              <c:f>'R9.K.Ds.sd'!$D$47:$D$67</c:f>
              <c:numCache>
                <c:formatCode>#,##0.00</c:formatCode>
                <c:ptCount val="21"/>
                <c:pt idx="0">
                  <c:v>0</c:v>
                </c:pt>
                <c:pt idx="1">
                  <c:v>0.01</c:v>
                </c:pt>
                <c:pt idx="2">
                  <c:v>0.02</c:v>
                </c:pt>
                <c:pt idx="3">
                  <c:v>0.03</c:v>
                </c:pt>
                <c:pt idx="4">
                  <c:v>0.04</c:v>
                </c:pt>
                <c:pt idx="5">
                  <c:v>0.05</c:v>
                </c:pt>
                <c:pt idx="6">
                  <c:v>0.06</c:v>
                </c:pt>
                <c:pt idx="7">
                  <c:v>7.0000000000000007E-2</c:v>
                </c:pt>
                <c:pt idx="8">
                  <c:v>0.08</c:v>
                </c:pt>
                <c:pt idx="9">
                  <c:v>0.09</c:v>
                </c:pt>
                <c:pt idx="10">
                  <c:v>0.1</c:v>
                </c:pt>
                <c:pt idx="11">
                  <c:v>0.11</c:v>
                </c:pt>
                <c:pt idx="12">
                  <c:v>0.12</c:v>
                </c:pt>
                <c:pt idx="13">
                  <c:v>0.13</c:v>
                </c:pt>
                <c:pt idx="14">
                  <c:v>0.14000000000000001</c:v>
                </c:pt>
                <c:pt idx="15">
                  <c:v>0.15</c:v>
                </c:pt>
                <c:pt idx="16">
                  <c:v>0.16</c:v>
                </c:pt>
                <c:pt idx="17">
                  <c:v>0.17</c:v>
                </c:pt>
                <c:pt idx="18">
                  <c:v>0.18</c:v>
                </c:pt>
                <c:pt idx="19">
                  <c:v>0.19</c:v>
                </c:pt>
                <c:pt idx="20">
                  <c:v>0.2</c:v>
                </c:pt>
              </c:numCache>
            </c:numRef>
          </c:xVal>
          <c:yVal>
            <c:numRef>
              <c:f>'R9.K.Ds.sd'!$K$47:$K$67</c:f>
              <c:numCache>
                <c:formatCode>#,##0.0000</c:formatCode>
                <c:ptCount val="21"/>
                <c:pt idx="0">
                  <c:v>8.0148036975883219</c:v>
                </c:pt>
                <c:pt idx="1">
                  <c:v>8.2179069671032163</c:v>
                </c:pt>
                <c:pt idx="2">
                  <c:v>8.2764035739764701</c:v>
                </c:pt>
                <c:pt idx="3">
                  <c:v>8.3973160459045051</c:v>
                </c:pt>
                <c:pt idx="4">
                  <c:v>8.6412559868731478</c:v>
                </c:pt>
                <c:pt idx="5">
                  <c:v>8.8511113842652573</c:v>
                </c:pt>
                <c:pt idx="6">
                  <c:v>8.9985930113384764</c:v>
                </c:pt>
                <c:pt idx="7">
                  <c:v>8.8969093234825731</c:v>
                </c:pt>
                <c:pt idx="8">
                  <c:v>8.5729775426238444</c:v>
                </c:pt>
                <c:pt idx="9">
                  <c:v>8.53923669123526</c:v>
                </c:pt>
                <c:pt idx="10">
                  <c:v>8.4153698840843223</c:v>
                </c:pt>
                <c:pt idx="11">
                  <c:v>8.2415008270207348</c:v>
                </c:pt>
                <c:pt idx="12">
                  <c:v>8.2526198547271363</c:v>
                </c:pt>
                <c:pt idx="13">
                  <c:v>7.9502132564894357</c:v>
                </c:pt>
                <c:pt idx="14">
                  <c:v>7.7001968814298118</c:v>
                </c:pt>
                <c:pt idx="15">
                  <c:v>7.3247628361453856</c:v>
                </c:pt>
                <c:pt idx="16">
                  <c:v>6.9193383469030056</c:v>
                </c:pt>
                <c:pt idx="17">
                  <c:v>6.4781748188863748</c:v>
                </c:pt>
                <c:pt idx="18">
                  <c:v>5.9848458169314567</c:v>
                </c:pt>
                <c:pt idx="19">
                  <c:v>5.657771791829842</c:v>
                </c:pt>
                <c:pt idx="20">
                  <c:v>5.2782885330763669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1394-45BF-8811-971BBB0A30E5}"/>
            </c:ext>
          </c:extLst>
        </c:ser>
        <c:ser>
          <c:idx val="3"/>
          <c:order val="3"/>
          <c:tx>
            <c:v>Codebook 4</c:v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errBars>
            <c:errDir val="x"/>
            <c:errBarType val="both"/>
            <c:errValType val="stdErr"/>
            <c:noEndCap val="0"/>
            <c:spPr>
              <a:noFill/>
              <a:ln w="9525" cap="flat" cmpd="sng" algn="ctr">
                <a:noFill/>
                <a:round/>
              </a:ln>
              <a:effectLst/>
            </c:spPr>
          </c:errBars>
          <c:errBars>
            <c:errDir val="y"/>
            <c:errBarType val="both"/>
            <c:errValType val="cust"/>
            <c:noEndCap val="0"/>
            <c:plus>
              <c:numRef>
                <c:f>'R9.K.Ds.sd'!$O$69:$O$89</c:f>
                <c:numCache>
                  <c:formatCode>General</c:formatCode>
                  <c:ptCount val="21"/>
                  <c:pt idx="0">
                    <c:v>0.11821441568226909</c:v>
                  </c:pt>
                  <c:pt idx="1">
                    <c:v>9.9654513147591217E-2</c:v>
                  </c:pt>
                  <c:pt idx="2">
                    <c:v>0.10655457724172201</c:v>
                  </c:pt>
                  <c:pt idx="3">
                    <c:v>0.12480830782319075</c:v>
                  </c:pt>
                  <c:pt idx="4">
                    <c:v>0.13785027588579624</c:v>
                  </c:pt>
                  <c:pt idx="5">
                    <c:v>0.19137196744008733</c:v>
                  </c:pt>
                  <c:pt idx="6">
                    <c:v>9.2449557300730234E-2</c:v>
                  </c:pt>
                  <c:pt idx="7">
                    <c:v>0.20737958106235332</c:v>
                  </c:pt>
                  <c:pt idx="8">
                    <c:v>0.18200380703705576</c:v>
                  </c:pt>
                  <c:pt idx="9">
                    <c:v>0.15756063916909824</c:v>
                  </c:pt>
                  <c:pt idx="10">
                    <c:v>0.10859513896732942</c:v>
                  </c:pt>
                  <c:pt idx="11">
                    <c:v>0.20207201772976902</c:v>
                  </c:pt>
                  <c:pt idx="12">
                    <c:v>0.13054051141999423</c:v>
                  </c:pt>
                  <c:pt idx="13">
                    <c:v>0.13152915318067748</c:v>
                  </c:pt>
                  <c:pt idx="14">
                    <c:v>0.11252541641265701</c:v>
                  </c:pt>
                  <c:pt idx="15">
                    <c:v>0.1514651230250692</c:v>
                  </c:pt>
                  <c:pt idx="16">
                    <c:v>0.12999766605265251</c:v>
                  </c:pt>
                  <c:pt idx="17">
                    <c:v>0.10236913275548698</c:v>
                  </c:pt>
                  <c:pt idx="18">
                    <c:v>0.10213483218063679</c:v>
                  </c:pt>
                  <c:pt idx="19">
                    <c:v>9.3534442222717118E-2</c:v>
                  </c:pt>
                  <c:pt idx="20">
                    <c:v>9.034609604398014E-2</c:v>
                  </c:pt>
                </c:numCache>
              </c:numRef>
            </c:plus>
            <c:minus>
              <c:numRef>
                <c:f>'R9.K.Ds.sd'!$N$69:$N$89</c:f>
                <c:numCache>
                  <c:formatCode>General</c:formatCode>
                  <c:ptCount val="21"/>
                  <c:pt idx="0">
                    <c:v>0.11508171741312267</c:v>
                  </c:pt>
                  <c:pt idx="1">
                    <c:v>9.741901143447862E-2</c:v>
                  </c:pt>
                  <c:pt idx="2">
                    <c:v>0.10400273499259427</c:v>
                  </c:pt>
                  <c:pt idx="3">
                    <c:v>0.12132151562714988</c:v>
                  </c:pt>
                  <c:pt idx="4">
                    <c:v>0.13360902026378874</c:v>
                  </c:pt>
                  <c:pt idx="5">
                    <c:v>0.183293866973397</c:v>
                  </c:pt>
                  <c:pt idx="6">
                    <c:v>9.0522506544481018E-2</c:v>
                  </c:pt>
                  <c:pt idx="7">
                    <c:v>0.19792668690962323</c:v>
                  </c:pt>
                  <c:pt idx="8">
                    <c:v>0.1746822096756997</c:v>
                  </c:pt>
                  <c:pt idx="9">
                    <c:v>0.15204394977240554</c:v>
                  </c:pt>
                  <c:pt idx="10">
                    <c:v>0.10594583351963038</c:v>
                  </c:pt>
                  <c:pt idx="11">
                    <c:v>0.19308639052129628</c:v>
                  </c:pt>
                  <c:pt idx="12">
                    <c:v>0.12673094614360814</c:v>
                  </c:pt>
                  <c:pt idx="13">
                    <c:v>0.12766251678891471</c:v>
                  </c:pt>
                  <c:pt idx="14">
                    <c:v>0.10968337242804083</c:v>
                  </c:pt>
                  <c:pt idx="15">
                    <c:v>0.14636014702597411</c:v>
                  </c:pt>
                  <c:pt idx="16">
                    <c:v>0.1262192622855407</c:v>
                  </c:pt>
                  <c:pt idx="17">
                    <c:v>0.10001161592351693</c:v>
                  </c:pt>
                  <c:pt idx="18">
                    <c:v>9.9787971447048207E-2</c:v>
                  </c:pt>
                  <c:pt idx="19">
                    <c:v>9.156237936992806E-2</c:v>
                  </c:pt>
                  <c:pt idx="20">
                    <c:v>8.8504867998981496E-2</c:v>
                  </c:pt>
                </c:numCache>
              </c:numRef>
            </c:minus>
            <c:spPr>
              <a:noFill/>
              <a:ln w="9525" cap="flat" cmpd="sng" algn="ctr">
                <a:solidFill>
                  <a:schemeClr val="tx1">
                    <a:lumMod val="65000"/>
                    <a:lumOff val="35000"/>
                  </a:schemeClr>
                </a:solidFill>
                <a:round/>
              </a:ln>
              <a:effectLst/>
            </c:spPr>
          </c:errBars>
          <c:xVal>
            <c:numRef>
              <c:f>'R9.K.Ds.sd'!$D$69:$D$89</c:f>
              <c:numCache>
                <c:formatCode>#,##0.00</c:formatCode>
                <c:ptCount val="21"/>
                <c:pt idx="0">
                  <c:v>0</c:v>
                </c:pt>
                <c:pt idx="1">
                  <c:v>0.01</c:v>
                </c:pt>
                <c:pt idx="2">
                  <c:v>0.02</c:v>
                </c:pt>
                <c:pt idx="3">
                  <c:v>0.03</c:v>
                </c:pt>
                <c:pt idx="4">
                  <c:v>0.04</c:v>
                </c:pt>
                <c:pt idx="5">
                  <c:v>0.05</c:v>
                </c:pt>
                <c:pt idx="6">
                  <c:v>0.06</c:v>
                </c:pt>
                <c:pt idx="7">
                  <c:v>7.0000000000000007E-2</c:v>
                </c:pt>
                <c:pt idx="8">
                  <c:v>0.08</c:v>
                </c:pt>
                <c:pt idx="9">
                  <c:v>0.09</c:v>
                </c:pt>
                <c:pt idx="10">
                  <c:v>0.1</c:v>
                </c:pt>
                <c:pt idx="11">
                  <c:v>0.11</c:v>
                </c:pt>
                <c:pt idx="12">
                  <c:v>0.12</c:v>
                </c:pt>
                <c:pt idx="13">
                  <c:v>0.13</c:v>
                </c:pt>
                <c:pt idx="14">
                  <c:v>0.14000000000000001</c:v>
                </c:pt>
                <c:pt idx="15">
                  <c:v>0.15</c:v>
                </c:pt>
                <c:pt idx="16">
                  <c:v>0.16</c:v>
                </c:pt>
                <c:pt idx="17">
                  <c:v>0.17</c:v>
                </c:pt>
                <c:pt idx="18">
                  <c:v>0.18</c:v>
                </c:pt>
                <c:pt idx="19">
                  <c:v>0.19</c:v>
                </c:pt>
                <c:pt idx="20">
                  <c:v>0.2</c:v>
                </c:pt>
              </c:numCache>
            </c:numRef>
          </c:xVal>
          <c:yVal>
            <c:numRef>
              <c:f>'R9.K.Ds.sd'!$K$69:$K$89</c:f>
              <c:numCache>
                <c:formatCode>#,##0.0000</c:formatCode>
                <c:ptCount val="21"/>
                <c:pt idx="0">
                  <c:v>9.824102295143998</c:v>
                </c:pt>
                <c:pt idx="1">
                  <c:v>9.9560696637363364</c:v>
                </c:pt>
                <c:pt idx="2">
                  <c:v>9.9012436628783984</c:v>
                </c:pt>
                <c:pt idx="3">
                  <c:v>10.064168249968743</c:v>
                </c:pt>
                <c:pt idx="4">
                  <c:v>10.109953843014631</c:v>
                </c:pt>
                <c:pt idx="5">
                  <c:v>9.9906004653814442</c:v>
                </c:pt>
                <c:pt idx="6">
                  <c:v>10.287241512618948</c:v>
                </c:pt>
                <c:pt idx="7">
                  <c:v>9.9754594454467398</c:v>
                </c:pt>
                <c:pt idx="8">
                  <c:v>9.8401189461586966</c:v>
                </c:pt>
                <c:pt idx="9">
                  <c:v>9.6859153574837578</c:v>
                </c:pt>
                <c:pt idx="10">
                  <c:v>9.628392068592845</c:v>
                </c:pt>
                <c:pt idx="11">
                  <c:v>9.2226882034760784</c:v>
                </c:pt>
                <c:pt idx="12">
                  <c:v>9.2897761728481694</c:v>
                </c:pt>
                <c:pt idx="13">
                  <c:v>8.9705203199462638</c:v>
                </c:pt>
                <c:pt idx="14">
                  <c:v>8.6375519825385751</c:v>
                </c:pt>
                <c:pt idx="15">
                  <c:v>8.1431621968149575</c:v>
                </c:pt>
                <c:pt idx="16">
                  <c:v>7.7976112006559593</c:v>
                </c:pt>
                <c:pt idx="17">
                  <c:v>7.3013695944558883</c:v>
                </c:pt>
                <c:pt idx="18">
                  <c:v>6.8280751851111834</c:v>
                </c:pt>
                <c:pt idx="19">
                  <c:v>6.4108211954423506</c:v>
                </c:pt>
                <c:pt idx="20">
                  <c:v>6.0736165993725209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1394-45BF-8811-971BBB0A30E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78679920"/>
        <c:axId val="802641424"/>
      </c:scatterChart>
      <c:valAx>
        <c:axId val="578679920"/>
        <c:scaling>
          <c:orientation val="minMax"/>
          <c:max val="0.2"/>
          <c:min val="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AU"/>
                  <a:t>Normalised</a:t>
                </a:r>
                <a:r>
                  <a:rPr lang="en-AU" baseline="0"/>
                  <a:t> noise, </a:t>
                </a:r>
                <a:r>
                  <a:rPr lang="en-AU" sz="1000" b="0" i="1" u="none" strike="noStrike" kern="1200" spc="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  <a:cs typeface="Times New Roman" panose="02020603050405020304" pitchFamily="18" charset="0"/>
                  </a:rPr>
                  <a:t>σ</a:t>
                </a:r>
                <a:r>
                  <a:rPr lang="en-AU" baseline="0"/>
                  <a:t> </a:t>
                </a:r>
                <a:endParaRPr lang="en-AU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#,##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02641424"/>
        <c:crosses val="autoZero"/>
        <c:crossBetween val="midCat"/>
        <c:majorUnit val="2.0000000000000004E-2"/>
      </c:valAx>
      <c:valAx>
        <c:axId val="802641424"/>
        <c:scaling>
          <c:orientation val="minMax"/>
          <c:max val="12"/>
          <c:min val="4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AU"/>
                  <a:t>Q</a:t>
                </a:r>
                <a:r>
                  <a:rPr lang="en-AU" baseline="0"/>
                  <a:t>uality score, </a:t>
                </a:r>
                <a:r>
                  <a:rPr lang="en-AU" i="1" baseline="0"/>
                  <a:t>Q</a:t>
                </a:r>
                <a:endParaRPr lang="en-AU" i="1"/>
              </a:p>
            </c:rich>
          </c:tx>
          <c:layout>
            <c:manualLayout>
              <c:xMode val="edge"/>
              <c:yMode val="edge"/>
              <c:x val="1.2630035540302917E-2"/>
              <c:y val="0.3506217297161231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#,##0.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78679920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7715254705504232"/>
          <c:y val="0.34878351652668288"/>
          <c:w val="0.21228217619277828"/>
          <c:h val="0.3436151953612574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6350" cap="flat" cmpd="sng" algn="ctr">
      <a:solidFill>
        <a:schemeClr val="tx1"/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AU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Quality score vs. </a:t>
            </a:r>
            <a:r>
              <a:rPr lang="en-AU" sz="1400" b="0" i="1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cs typeface="Times New Roman" panose="02020603050405020304" pitchFamily="18" charset="0"/>
              </a:rPr>
              <a:t>K</a:t>
            </a:r>
            <a:r>
              <a:rPr lang="en-AU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cs typeface="Times New Roman" panose="02020603050405020304" pitchFamily="18" charset="0"/>
              </a:rPr>
              <a:t> : Dorado R9 'sup'</a:t>
            </a:r>
            <a:endParaRPr lang="en-AU" sz="1400" b="0" i="0" u="none" strike="noStrike" kern="1200" spc="0" baseline="0">
              <a:solidFill>
                <a:sysClr val="windowText" lastClr="000000">
                  <a:lumMod val="65000"/>
                  <a:lumOff val="35000"/>
                </a:sysClr>
              </a:solidFill>
            </a:endParaRPr>
          </a:p>
        </c:rich>
      </c:tx>
      <c:layout>
        <c:manualLayout>
          <c:xMode val="edge"/>
          <c:yMode val="edge"/>
          <c:x val="0.23448124938497378"/>
          <c:y val="3.2615808749468518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1368158226066076"/>
          <c:y val="0.15826550596557501"/>
          <c:w val="0.66061018822016926"/>
          <c:h val="0.65642128030386226"/>
        </c:manualLayout>
      </c:layout>
      <c:scatterChart>
        <c:scatterStyle val="lineMarker"/>
        <c:varyColors val="0"/>
        <c:ser>
          <c:idx val="1"/>
          <c:order val="0"/>
          <c:tx>
            <c:v>Codebook 1</c:v>
          </c:tx>
          <c:spPr>
            <a:ln w="19050" cap="rnd">
              <a:solidFill>
                <a:srgbClr val="FF0000"/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rgbClr val="FF0000"/>
              </a:solidFill>
              <a:ln w="9525">
                <a:solidFill>
                  <a:srgbClr val="FF0000"/>
                </a:solidFill>
              </a:ln>
              <a:effectLst/>
            </c:spPr>
          </c:marker>
          <c:errBars>
            <c:errDir val="x"/>
            <c:errBarType val="both"/>
            <c:errValType val="stdErr"/>
            <c:noEndCap val="0"/>
            <c:spPr>
              <a:noFill/>
              <a:ln w="9525" cap="flat" cmpd="sng" algn="ctr">
                <a:noFill/>
                <a:round/>
              </a:ln>
              <a:effectLst/>
            </c:spPr>
          </c:errBars>
          <c:errBars>
            <c:errDir val="y"/>
            <c:errBarType val="both"/>
            <c:errValType val="cust"/>
            <c:noEndCap val="0"/>
            <c:plus>
              <c:numRef>
                <c:f>'R9.K.Ds.K'!$O$3:$O$18</c:f>
                <c:numCache>
                  <c:formatCode>General</c:formatCode>
                  <c:ptCount val="16"/>
                  <c:pt idx="0">
                    <c:v>8.7936063084277372E-2</c:v>
                  </c:pt>
                  <c:pt idx="1">
                    <c:v>0.13040495379595995</c:v>
                  </c:pt>
                  <c:pt idx="2">
                    <c:v>0.14918731126240381</c:v>
                  </c:pt>
                  <c:pt idx="3">
                    <c:v>0.20467513337138676</c:v>
                  </c:pt>
                  <c:pt idx="4">
                    <c:v>0.22094245462771411</c:v>
                  </c:pt>
                  <c:pt idx="5">
                    <c:v>0.22778619739411354</c:v>
                  </c:pt>
                  <c:pt idx="6">
                    <c:v>0.25912484907113509</c:v>
                  </c:pt>
                  <c:pt idx="7">
                    <c:v>0.27881584900400824</c:v>
                  </c:pt>
                  <c:pt idx="8">
                    <c:v>0.3056137674082926</c:v>
                  </c:pt>
                  <c:pt idx="9">
                    <c:v>0.29046510265537862</c:v>
                  </c:pt>
                  <c:pt idx="10">
                    <c:v>0.28023310688259784</c:v>
                  </c:pt>
                  <c:pt idx="11">
                    <c:v>0.32142975391481698</c:v>
                  </c:pt>
                  <c:pt idx="12">
                    <c:v>0.346312984760063</c:v>
                  </c:pt>
                  <c:pt idx="13">
                    <c:v>0.32211123301182987</c:v>
                  </c:pt>
                  <c:pt idx="14">
                    <c:v>0.34865705452357254</c:v>
                  </c:pt>
                  <c:pt idx="15">
                    <c:v>0.35187833293709048</c:v>
                  </c:pt>
                </c:numCache>
              </c:numRef>
            </c:plus>
            <c:minus>
              <c:numRef>
                <c:f>'R9.K.Ds.K'!$N$3:$N$18</c:f>
                <c:numCache>
                  <c:formatCode>General</c:formatCode>
                  <c:ptCount val="16"/>
                  <c:pt idx="0">
                    <c:v>8.6190810795089945E-2</c:v>
                  </c:pt>
                  <c:pt idx="1">
                    <c:v>0.126603181711614</c:v>
                  </c:pt>
                  <c:pt idx="2">
                    <c:v>0.14423222557977411</c:v>
                  </c:pt>
                  <c:pt idx="3">
                    <c:v>0.19546174647160441</c:v>
                  </c:pt>
                  <c:pt idx="4">
                    <c:v>0.21024431514426745</c:v>
                  </c:pt>
                  <c:pt idx="5">
                    <c:v>0.21643193238268843</c:v>
                  </c:pt>
                  <c:pt idx="6">
                    <c:v>0.24453067004517948</c:v>
                  </c:pt>
                  <c:pt idx="7">
                    <c:v>0.26199069046513124</c:v>
                  </c:pt>
                  <c:pt idx="8">
                    <c:v>0.28551432842265889</c:v>
                  </c:pt>
                  <c:pt idx="9">
                    <c:v>0.27225009239063347</c:v>
                  </c:pt>
                  <c:pt idx="10">
                    <c:v>0.26324162567513021</c:v>
                  </c:pt>
                  <c:pt idx="11">
                    <c:v>0.29927073221245237</c:v>
                  </c:pt>
                  <c:pt idx="12">
                    <c:v>0.32072531047600883</c:v>
                  </c:pt>
                  <c:pt idx="13">
                    <c:v>0.29986136681283782</c:v>
                  </c:pt>
                  <c:pt idx="14">
                    <c:v>0.32273463014391091</c:v>
                  </c:pt>
                  <c:pt idx="15">
                    <c:v>0.32549260392931956</c:v>
                  </c:pt>
                </c:numCache>
              </c:numRef>
            </c:minus>
            <c:spPr>
              <a:noFill/>
              <a:ln w="9525" cap="flat" cmpd="sng" algn="ctr">
                <a:solidFill>
                  <a:schemeClr val="tx1">
                    <a:lumMod val="65000"/>
                    <a:lumOff val="35000"/>
                  </a:schemeClr>
                </a:solidFill>
                <a:round/>
              </a:ln>
              <a:effectLst/>
            </c:spPr>
          </c:errBars>
          <c:xVal>
            <c:numRef>
              <c:f>'R9.K.Ds.K'!$E$3:$E$18</c:f>
              <c:numCache>
                <c:formatCode>#,##0</c:formatCode>
                <c:ptCount val="16"/>
                <c:pt idx="0">
                  <c:v>5</c:v>
                </c:pt>
                <c:pt idx="1">
                  <c:v>6</c:v>
                </c:pt>
                <c:pt idx="2">
                  <c:v>7</c:v>
                </c:pt>
                <c:pt idx="3">
                  <c:v>8</c:v>
                </c:pt>
                <c:pt idx="4">
                  <c:v>9</c:v>
                </c:pt>
                <c:pt idx="5">
                  <c:v>10</c:v>
                </c:pt>
                <c:pt idx="6">
                  <c:v>11</c:v>
                </c:pt>
                <c:pt idx="7">
                  <c:v>12</c:v>
                </c:pt>
                <c:pt idx="8">
                  <c:v>13</c:v>
                </c:pt>
                <c:pt idx="9">
                  <c:v>14</c:v>
                </c:pt>
                <c:pt idx="10">
                  <c:v>15</c:v>
                </c:pt>
                <c:pt idx="11">
                  <c:v>16</c:v>
                </c:pt>
                <c:pt idx="12">
                  <c:v>17</c:v>
                </c:pt>
                <c:pt idx="13">
                  <c:v>18</c:v>
                </c:pt>
                <c:pt idx="14">
                  <c:v>19</c:v>
                </c:pt>
                <c:pt idx="15">
                  <c:v>20</c:v>
                </c:pt>
              </c:numCache>
            </c:numRef>
          </c:xVal>
          <c:yVal>
            <c:numRef>
              <c:f>'R9.K.Ds.K'!$K$3:$K$18</c:f>
              <c:numCache>
                <c:formatCode>#,##0.0000</c:formatCode>
                <c:ptCount val="16"/>
                <c:pt idx="0">
                  <c:v>4.9419455094882485</c:v>
                </c:pt>
                <c:pt idx="1">
                  <c:v>6.0888838629719757</c:v>
                </c:pt>
                <c:pt idx="2">
                  <c:v>6.8909437062385859</c:v>
                </c:pt>
                <c:pt idx="3">
                  <c:v>7.5043478817465328</c:v>
                </c:pt>
                <c:pt idx="4">
                  <c:v>7.8799005748516464</c:v>
                </c:pt>
                <c:pt idx="5">
                  <c:v>8.2768903147804593</c:v>
                </c:pt>
                <c:pt idx="6">
                  <c:v>8.2802990287227018</c:v>
                </c:pt>
                <c:pt idx="7">
                  <c:v>8.5886390987926102</c:v>
                </c:pt>
                <c:pt idx="8">
                  <c:v>8.6180259810818356</c:v>
                </c:pt>
                <c:pt idx="9">
                  <c:v>8.7631165833241411</c:v>
                </c:pt>
                <c:pt idx="10">
                  <c:v>9.112734360461447</c:v>
                </c:pt>
                <c:pt idx="11">
                  <c:v>9.0401747155567129</c:v>
                </c:pt>
                <c:pt idx="12">
                  <c:v>8.9894064509188443</c:v>
                </c:pt>
                <c:pt idx="13">
                  <c:v>9.5129930256299975</c:v>
                </c:pt>
                <c:pt idx="14">
                  <c:v>9.1304727574251583</c:v>
                </c:pt>
                <c:pt idx="15">
                  <c:v>9.17334286519106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4C44-4D25-A007-E64BA603D331}"/>
            </c:ext>
          </c:extLst>
        </c:ser>
        <c:ser>
          <c:idx val="0"/>
          <c:order val="1"/>
          <c:tx>
            <c:v>Codebook 2</c:v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errBars>
            <c:errDir val="x"/>
            <c:errBarType val="both"/>
            <c:errValType val="stdErr"/>
            <c:noEndCap val="0"/>
            <c:spPr>
              <a:noFill/>
              <a:ln w="9525" cap="flat" cmpd="sng" algn="ctr">
                <a:noFill/>
                <a:round/>
              </a:ln>
              <a:effectLst/>
            </c:spPr>
          </c:errBars>
          <c:errBars>
            <c:errDir val="y"/>
            <c:errBarType val="both"/>
            <c:errValType val="cust"/>
            <c:noEndCap val="0"/>
            <c:plus>
              <c:numRef>
                <c:f>'R9.K.Ds.K'!$O$20:$O$35</c:f>
                <c:numCache>
                  <c:formatCode>General</c:formatCode>
                  <c:ptCount val="16"/>
                  <c:pt idx="0">
                    <c:v>4.7765360403500878E-2</c:v>
                  </c:pt>
                  <c:pt idx="1">
                    <c:v>6.2173849557153105E-2</c:v>
                  </c:pt>
                  <c:pt idx="2">
                    <c:v>6.9186917090782174E-2</c:v>
                  </c:pt>
                  <c:pt idx="3">
                    <c:v>7.7587216011412607E-2</c:v>
                  </c:pt>
                  <c:pt idx="4">
                    <c:v>7.7817107582863088E-2</c:v>
                  </c:pt>
                  <c:pt idx="5">
                    <c:v>9.3523410170728738E-2</c:v>
                  </c:pt>
                  <c:pt idx="6">
                    <c:v>0.1022352187253901</c:v>
                  </c:pt>
                  <c:pt idx="7">
                    <c:v>0.10388790204971521</c:v>
                  </c:pt>
                  <c:pt idx="8">
                    <c:v>9.2963329440028275E-2</c:v>
                  </c:pt>
                  <c:pt idx="9">
                    <c:v>0.1074601497516916</c:v>
                  </c:pt>
                  <c:pt idx="10">
                    <c:v>0.16965418509621877</c:v>
                  </c:pt>
                  <c:pt idx="11">
                    <c:v>0.10245187525510246</c:v>
                  </c:pt>
                  <c:pt idx="12">
                    <c:v>0.17818235595187204</c:v>
                  </c:pt>
                  <c:pt idx="13">
                    <c:v>0.16119102665905594</c:v>
                  </c:pt>
                  <c:pt idx="14">
                    <c:v>0.1280999544659096</c:v>
                  </c:pt>
                  <c:pt idx="15">
                    <c:v>0.11515176850969233</c:v>
                  </c:pt>
                </c:numCache>
              </c:numRef>
            </c:plus>
            <c:minus>
              <c:numRef>
                <c:f>'R9.K.Ds.K'!$N$20:$N$35</c:f>
                <c:numCache>
                  <c:formatCode>General</c:formatCode>
                  <c:ptCount val="16"/>
                  <c:pt idx="0">
                    <c:v>4.7245728712429269E-2</c:v>
                  </c:pt>
                  <c:pt idx="1">
                    <c:v>6.1296313211290254E-2</c:v>
                  </c:pt>
                  <c:pt idx="2">
                    <c:v>6.8101970431891701E-2</c:v>
                  </c:pt>
                  <c:pt idx="3">
                    <c:v>7.6225404677755293E-2</c:v>
                  </c:pt>
                  <c:pt idx="4">
                    <c:v>7.6447285209640725E-2</c:v>
                  </c:pt>
                  <c:pt idx="5">
                    <c:v>9.155180760012982E-2</c:v>
                  </c:pt>
                  <c:pt idx="6">
                    <c:v>9.9883795252820207E-2</c:v>
                  </c:pt>
                  <c:pt idx="7">
                    <c:v>0.1014607392218565</c:v>
                  </c:pt>
                  <c:pt idx="8">
                    <c:v>9.1015025589637588E-2</c:v>
                  </c:pt>
                  <c:pt idx="9">
                    <c:v>0.10486527469297968</c:v>
                  </c:pt>
                  <c:pt idx="10">
                    <c:v>0.16327517095927213</c:v>
                  </c:pt>
                  <c:pt idx="11">
                    <c:v>0.10009058962175033</c:v>
                  </c:pt>
                  <c:pt idx="12">
                    <c:v>0.17115909374866689</c:v>
                  </c:pt>
                  <c:pt idx="13">
                    <c:v>0.15542181340124372</c:v>
                  </c:pt>
                  <c:pt idx="14">
                    <c:v>0.1244295101471522</c:v>
                  </c:pt>
                  <c:pt idx="15">
                    <c:v>0.11217725533486167</c:v>
                  </c:pt>
                </c:numCache>
              </c:numRef>
            </c:minus>
            <c:spPr>
              <a:noFill/>
              <a:ln w="9525" cap="flat" cmpd="sng" algn="ctr">
                <a:solidFill>
                  <a:schemeClr val="tx1">
                    <a:lumMod val="65000"/>
                    <a:lumOff val="35000"/>
                  </a:schemeClr>
                </a:solidFill>
                <a:round/>
              </a:ln>
              <a:effectLst/>
            </c:spPr>
          </c:errBars>
          <c:xVal>
            <c:numRef>
              <c:f>'R9.K.Ds.K'!$E$20:$E$35</c:f>
              <c:numCache>
                <c:formatCode>#,##0</c:formatCode>
                <c:ptCount val="16"/>
                <c:pt idx="0">
                  <c:v>5</c:v>
                </c:pt>
                <c:pt idx="1">
                  <c:v>6</c:v>
                </c:pt>
                <c:pt idx="2">
                  <c:v>7</c:v>
                </c:pt>
                <c:pt idx="3">
                  <c:v>8</c:v>
                </c:pt>
                <c:pt idx="4">
                  <c:v>9</c:v>
                </c:pt>
                <c:pt idx="5">
                  <c:v>10</c:v>
                </c:pt>
                <c:pt idx="6">
                  <c:v>11</c:v>
                </c:pt>
                <c:pt idx="7">
                  <c:v>12</c:v>
                </c:pt>
                <c:pt idx="8">
                  <c:v>13</c:v>
                </c:pt>
                <c:pt idx="9">
                  <c:v>14</c:v>
                </c:pt>
                <c:pt idx="10">
                  <c:v>15</c:v>
                </c:pt>
                <c:pt idx="11">
                  <c:v>16</c:v>
                </c:pt>
                <c:pt idx="12">
                  <c:v>17</c:v>
                </c:pt>
                <c:pt idx="13">
                  <c:v>18</c:v>
                </c:pt>
                <c:pt idx="14">
                  <c:v>19</c:v>
                </c:pt>
                <c:pt idx="15">
                  <c:v>20</c:v>
                </c:pt>
              </c:numCache>
            </c:numRef>
          </c:xVal>
          <c:yVal>
            <c:numRef>
              <c:f>'R9.K.Ds.K'!$K$20:$K$35</c:f>
              <c:numCache>
                <c:formatCode>#,##0.0000</c:formatCode>
                <c:ptCount val="16"/>
                <c:pt idx="0">
                  <c:v>5.1432588486242921</c:v>
                </c:pt>
                <c:pt idx="1">
                  <c:v>6.4451655232471596</c:v>
                </c:pt>
                <c:pt idx="2">
                  <c:v>7.5551671043952471</c:v>
                </c:pt>
                <c:pt idx="3">
                  <c:v>8.2715391639483862</c:v>
                </c:pt>
                <c:pt idx="4">
                  <c:v>9.0535421039404511</c:v>
                </c:pt>
                <c:pt idx="5">
                  <c:v>9.4955579401194132</c:v>
                </c:pt>
                <c:pt idx="6">
                  <c:v>9.9047828569615071</c:v>
                </c:pt>
                <c:pt idx="7">
                  <c:v>10.260259430857454</c:v>
                </c:pt>
                <c:pt idx="8">
                  <c:v>10.566703956135942</c:v>
                </c:pt>
                <c:pt idx="9">
                  <c:v>10.8795517035513</c:v>
                </c:pt>
                <c:pt idx="10">
                  <c:v>11.002706688720531</c:v>
                </c:pt>
                <c:pt idx="11">
                  <c:v>11.325325121409485</c:v>
                </c:pt>
                <c:pt idx="12">
                  <c:v>11.668528880872149</c:v>
                </c:pt>
                <c:pt idx="13">
                  <c:v>11.793607436205287</c:v>
                </c:pt>
                <c:pt idx="14">
                  <c:v>12.07725072024671</c:v>
                </c:pt>
                <c:pt idx="15">
                  <c:v>12.251182341812036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4C44-4D25-A007-E64BA603D331}"/>
            </c:ext>
          </c:extLst>
        </c:ser>
        <c:ser>
          <c:idx val="2"/>
          <c:order val="2"/>
          <c:tx>
            <c:v>Codebook 3</c:v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errBars>
            <c:errDir val="x"/>
            <c:errBarType val="both"/>
            <c:errValType val="stdErr"/>
            <c:noEndCap val="0"/>
            <c:spPr>
              <a:noFill/>
              <a:ln w="9525" cap="flat" cmpd="sng" algn="ctr">
                <a:noFill/>
                <a:round/>
              </a:ln>
              <a:effectLst/>
            </c:spPr>
          </c:errBars>
          <c:errBars>
            <c:errDir val="y"/>
            <c:errBarType val="both"/>
            <c:errValType val="cust"/>
            <c:noEndCap val="0"/>
            <c:plus>
              <c:numRef>
                <c:f>'R9.K.Ds.K'!$O$37:$O$52</c:f>
                <c:numCache>
                  <c:formatCode>General</c:formatCode>
                  <c:ptCount val="16"/>
                  <c:pt idx="0">
                    <c:v>4.8923809161841803E-2</c:v>
                  </c:pt>
                  <c:pt idx="1">
                    <c:v>5.9102003539584835E-2</c:v>
                  </c:pt>
                  <c:pt idx="2">
                    <c:v>6.443918622355671E-2</c:v>
                  </c:pt>
                  <c:pt idx="3">
                    <c:v>7.4321780390183001E-2</c:v>
                  </c:pt>
                  <c:pt idx="4">
                    <c:v>8.5772618392628175E-2</c:v>
                  </c:pt>
                  <c:pt idx="5">
                    <c:v>9.0959581349059349E-2</c:v>
                  </c:pt>
                  <c:pt idx="6">
                    <c:v>9.4298301946395213E-2</c:v>
                  </c:pt>
                  <c:pt idx="7">
                    <c:v>9.3331920177249117E-2</c:v>
                  </c:pt>
                  <c:pt idx="8">
                    <c:v>0.10041062524743438</c:v>
                  </c:pt>
                  <c:pt idx="9">
                    <c:v>9.8377178842946833E-2</c:v>
                  </c:pt>
                  <c:pt idx="10">
                    <c:v>9.4218784348417017E-2</c:v>
                  </c:pt>
                  <c:pt idx="11">
                    <c:v>9.3257502458525821E-2</c:v>
                  </c:pt>
                  <c:pt idx="12">
                    <c:v>0.10447821521085032</c:v>
                  </c:pt>
                  <c:pt idx="13">
                    <c:v>0.10407687957135714</c:v>
                  </c:pt>
                  <c:pt idx="14">
                    <c:v>0.10004033806888302</c:v>
                  </c:pt>
                  <c:pt idx="15">
                    <c:v>9.8751596770171091E-2</c:v>
                  </c:pt>
                </c:numCache>
              </c:numRef>
            </c:plus>
            <c:minus>
              <c:numRef>
                <c:f>'R9.K.Ds.K'!$N$37:$N$52</c:f>
                <c:numCache>
                  <c:formatCode>General</c:formatCode>
                  <c:ptCount val="16"/>
                  <c:pt idx="0">
                    <c:v>4.8378810197365674E-2</c:v>
                  </c:pt>
                  <c:pt idx="1">
                    <c:v>5.8308486470286525E-2</c:v>
                  </c:pt>
                  <c:pt idx="2">
                    <c:v>6.3497021282413968E-2</c:v>
                  </c:pt>
                  <c:pt idx="3">
                    <c:v>7.3071265569162769E-2</c:v>
                  </c:pt>
                  <c:pt idx="4">
                    <c:v>8.4111376253055425E-2</c:v>
                  </c:pt>
                  <c:pt idx="5">
                    <c:v>8.909352045613872E-2</c:v>
                  </c:pt>
                  <c:pt idx="6">
                    <c:v>9.2294241277370404E-2</c:v>
                  </c:pt>
                  <c:pt idx="7">
                    <c:v>9.136829862382001E-2</c:v>
                  </c:pt>
                  <c:pt idx="8">
                    <c:v>9.8141456630839841E-2</c:v>
                  </c:pt>
                  <c:pt idx="9">
                    <c:v>9.6197993223720246E-2</c:v>
                  </c:pt>
                  <c:pt idx="10">
                    <c:v>9.2218066396629439E-2</c:v>
                  </c:pt>
                  <c:pt idx="11">
                    <c:v>9.1296978248891492E-2</c:v>
                  </c:pt>
                  <c:pt idx="12">
                    <c:v>0.10202371529500098</c:v>
                  </c:pt>
                  <c:pt idx="13">
                    <c:v>0.10164098156476165</c:v>
                  </c:pt>
                  <c:pt idx="14">
                    <c:v>9.778768771619184E-2</c:v>
                  </c:pt>
                  <c:pt idx="15">
                    <c:v>9.655597630138324E-2</c:v>
                  </c:pt>
                </c:numCache>
              </c:numRef>
            </c:minus>
            <c:spPr>
              <a:noFill/>
              <a:ln w="9525" cap="flat" cmpd="sng" algn="ctr">
                <a:solidFill>
                  <a:schemeClr val="tx1">
                    <a:lumMod val="65000"/>
                    <a:lumOff val="35000"/>
                  </a:schemeClr>
                </a:solidFill>
                <a:round/>
              </a:ln>
              <a:effectLst/>
            </c:spPr>
          </c:errBars>
          <c:xVal>
            <c:numRef>
              <c:f>'R9.K.Ds.K'!$E$37:$E$52</c:f>
              <c:numCache>
                <c:formatCode>#,##0</c:formatCode>
                <c:ptCount val="16"/>
                <c:pt idx="0">
                  <c:v>5</c:v>
                </c:pt>
                <c:pt idx="1">
                  <c:v>6</c:v>
                </c:pt>
                <c:pt idx="2">
                  <c:v>7</c:v>
                </c:pt>
                <c:pt idx="3">
                  <c:v>8</c:v>
                </c:pt>
                <c:pt idx="4">
                  <c:v>9</c:v>
                </c:pt>
                <c:pt idx="5">
                  <c:v>10</c:v>
                </c:pt>
                <c:pt idx="6">
                  <c:v>11</c:v>
                </c:pt>
                <c:pt idx="7">
                  <c:v>12</c:v>
                </c:pt>
                <c:pt idx="8">
                  <c:v>13</c:v>
                </c:pt>
                <c:pt idx="9">
                  <c:v>14</c:v>
                </c:pt>
                <c:pt idx="10">
                  <c:v>15</c:v>
                </c:pt>
                <c:pt idx="11">
                  <c:v>16</c:v>
                </c:pt>
                <c:pt idx="12">
                  <c:v>17</c:v>
                </c:pt>
                <c:pt idx="13">
                  <c:v>18</c:v>
                </c:pt>
                <c:pt idx="14">
                  <c:v>19</c:v>
                </c:pt>
                <c:pt idx="15">
                  <c:v>20</c:v>
                </c:pt>
              </c:numCache>
            </c:numRef>
          </c:xVal>
          <c:yVal>
            <c:numRef>
              <c:f>'R9.K.Ds.K'!$K$37:$K$52</c:f>
              <c:numCache>
                <c:formatCode>#,##0.0000</c:formatCode>
                <c:ptCount val="16"/>
                <c:pt idx="0">
                  <c:v>4.9796000251150163</c:v>
                </c:pt>
                <c:pt idx="1">
                  <c:v>6.0624935965191966</c:v>
                </c:pt>
                <c:pt idx="2">
                  <c:v>6.9835518921128372</c:v>
                </c:pt>
                <c:pt idx="3">
                  <c:v>7.4308190596253922</c:v>
                </c:pt>
                <c:pt idx="4">
                  <c:v>8.0590211442104795</c:v>
                </c:pt>
                <c:pt idx="5">
                  <c:v>8.4123556943838977</c:v>
                </c:pt>
                <c:pt idx="6">
                  <c:v>8.6827443239325071</c:v>
                </c:pt>
                <c:pt idx="7">
                  <c:v>9.0285842501263538</c:v>
                </c:pt>
                <c:pt idx="8">
                  <c:v>9.2658716812015509</c:v>
                </c:pt>
                <c:pt idx="9">
                  <c:v>9.4233389609017078</c:v>
                </c:pt>
                <c:pt idx="10">
                  <c:v>9.5631032318318923</c:v>
                </c:pt>
                <c:pt idx="11">
                  <c:v>9.8674133471648346</c:v>
                </c:pt>
                <c:pt idx="12">
                  <c:v>9.9949361843628832</c:v>
                </c:pt>
                <c:pt idx="13">
                  <c:v>10.26487304122657</c:v>
                </c:pt>
                <c:pt idx="14">
                  <c:v>10.234207813598902</c:v>
                </c:pt>
                <c:pt idx="15">
                  <c:v>10.397671268714877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4C44-4D25-A007-E64BA603D331}"/>
            </c:ext>
          </c:extLst>
        </c:ser>
        <c:ser>
          <c:idx val="3"/>
          <c:order val="3"/>
          <c:tx>
            <c:v>Codebook 4</c:v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errBars>
            <c:errDir val="x"/>
            <c:errBarType val="both"/>
            <c:errValType val="stdErr"/>
            <c:noEndCap val="0"/>
            <c:spPr>
              <a:noFill/>
              <a:ln w="9525" cap="flat" cmpd="sng" algn="ctr">
                <a:noFill/>
                <a:round/>
              </a:ln>
              <a:effectLst/>
            </c:spPr>
          </c:errBars>
          <c:errBars>
            <c:errDir val="y"/>
            <c:errBarType val="both"/>
            <c:errValType val="cust"/>
            <c:noEndCap val="0"/>
            <c:plus>
              <c:numRef>
                <c:f>'R9.K.Ds.K'!$O$54:$O$69</c:f>
                <c:numCache>
                  <c:formatCode>General</c:formatCode>
                  <c:ptCount val="16"/>
                  <c:pt idx="0">
                    <c:v>5.6901814457870792E-2</c:v>
                  </c:pt>
                  <c:pt idx="1">
                    <c:v>8.8078862078840636E-2</c:v>
                  </c:pt>
                  <c:pt idx="2">
                    <c:v>0.10978219327336092</c:v>
                  </c:pt>
                  <c:pt idx="3">
                    <c:v>0.14039680452003367</c:v>
                  </c:pt>
                  <c:pt idx="4">
                    <c:v>0.11546089935171722</c:v>
                  </c:pt>
                  <c:pt idx="5">
                    <c:v>0.13211627576219342</c:v>
                  </c:pt>
                  <c:pt idx="6">
                    <c:v>0.21900935277552236</c:v>
                  </c:pt>
                  <c:pt idx="7">
                    <c:v>0.12536734501376934</c:v>
                  </c:pt>
                  <c:pt idx="8">
                    <c:v>0.23917972451992497</c:v>
                  </c:pt>
                  <c:pt idx="9">
                    <c:v>0.21281982461676208</c:v>
                  </c:pt>
                  <c:pt idx="10">
                    <c:v>0.16635293999666345</c:v>
                  </c:pt>
                  <c:pt idx="11">
                    <c:v>0.21978213467647301</c:v>
                  </c:pt>
                  <c:pt idx="12">
                    <c:v>0.26661554195754533</c:v>
                  </c:pt>
                  <c:pt idx="13">
                    <c:v>0.24439017648210282</c:v>
                  </c:pt>
                  <c:pt idx="14">
                    <c:v>0.31064934879865369</c:v>
                  </c:pt>
                  <c:pt idx="15">
                    <c:v>0.26867993878401109</c:v>
                  </c:pt>
                </c:numCache>
              </c:numRef>
            </c:plus>
            <c:minus>
              <c:numRef>
                <c:f>'R9.K.Ds.K'!$N$54:$N$69</c:f>
                <c:numCache>
                  <c:formatCode>General</c:formatCode>
                  <c:ptCount val="16"/>
                  <c:pt idx="0">
                    <c:v>5.6165911166967675E-2</c:v>
                  </c:pt>
                  <c:pt idx="1">
                    <c:v>8.6327993216131382E-2</c:v>
                  </c:pt>
                  <c:pt idx="2">
                    <c:v>0.10707537103841425</c:v>
                  </c:pt>
                  <c:pt idx="3">
                    <c:v>0.13599988917669847</c:v>
                  </c:pt>
                  <c:pt idx="4">
                    <c:v>0.11247060075397641</c:v>
                  </c:pt>
                  <c:pt idx="5">
                    <c:v>0.12821555177870181</c:v>
                  </c:pt>
                  <c:pt idx="6">
                    <c:v>0.20849317754672825</c:v>
                  </c:pt>
                  <c:pt idx="7">
                    <c:v>0.12184968517527217</c:v>
                  </c:pt>
                  <c:pt idx="8">
                    <c:v>0.22669208255469542</c:v>
                  </c:pt>
                  <c:pt idx="9">
                    <c:v>0.2028762655638463</c:v>
                  </c:pt>
                  <c:pt idx="10">
                    <c:v>0.16021530155489927</c:v>
                  </c:pt>
                  <c:pt idx="11">
                    <c:v>0.20919339517347346</c:v>
                  </c:pt>
                  <c:pt idx="12">
                    <c:v>0.2511902821765748</c:v>
                  </c:pt>
                  <c:pt idx="13">
                    <c:v>0.23136721524297776</c:v>
                  </c:pt>
                  <c:pt idx="14">
                    <c:v>0.2899043386959228</c:v>
                  </c:pt>
                  <c:pt idx="15">
                    <c:v>0.25302182806472118</c:v>
                  </c:pt>
                </c:numCache>
              </c:numRef>
            </c:minus>
            <c:spPr>
              <a:noFill/>
              <a:ln w="9525" cap="flat" cmpd="sng" algn="ctr">
                <a:solidFill>
                  <a:schemeClr val="tx1">
                    <a:lumMod val="65000"/>
                    <a:lumOff val="35000"/>
                  </a:schemeClr>
                </a:solidFill>
                <a:round/>
              </a:ln>
              <a:effectLst/>
            </c:spPr>
          </c:errBars>
          <c:xVal>
            <c:numRef>
              <c:f>'R9.K.Ds.K'!$E$54:$E$69</c:f>
              <c:numCache>
                <c:formatCode>#,##0</c:formatCode>
                <c:ptCount val="16"/>
                <c:pt idx="0">
                  <c:v>5</c:v>
                </c:pt>
                <c:pt idx="1">
                  <c:v>6</c:v>
                </c:pt>
                <c:pt idx="2">
                  <c:v>7</c:v>
                </c:pt>
                <c:pt idx="3">
                  <c:v>8</c:v>
                </c:pt>
                <c:pt idx="4">
                  <c:v>9</c:v>
                </c:pt>
                <c:pt idx="5">
                  <c:v>10</c:v>
                </c:pt>
                <c:pt idx="6">
                  <c:v>11</c:v>
                </c:pt>
                <c:pt idx="7">
                  <c:v>12</c:v>
                </c:pt>
                <c:pt idx="8">
                  <c:v>13</c:v>
                </c:pt>
                <c:pt idx="9">
                  <c:v>14</c:v>
                </c:pt>
                <c:pt idx="10">
                  <c:v>15</c:v>
                </c:pt>
                <c:pt idx="11">
                  <c:v>16</c:v>
                </c:pt>
                <c:pt idx="12">
                  <c:v>17</c:v>
                </c:pt>
                <c:pt idx="13">
                  <c:v>18</c:v>
                </c:pt>
                <c:pt idx="14">
                  <c:v>19</c:v>
                </c:pt>
                <c:pt idx="15">
                  <c:v>20</c:v>
                </c:pt>
              </c:numCache>
            </c:numRef>
          </c:xVal>
          <c:yVal>
            <c:numRef>
              <c:f>'R9.K.Ds.K'!$K$54:$K$69</c:f>
              <c:numCache>
                <c:formatCode>#,##0.0000</c:formatCode>
                <c:ptCount val="16"/>
                <c:pt idx="0">
                  <c:v>5.9009504194527445</c:v>
                </c:pt>
                <c:pt idx="1">
                  <c:v>7.3111014696773662</c:v>
                </c:pt>
                <c:pt idx="2">
                  <c:v>8.1257329247311567</c:v>
                </c:pt>
                <c:pt idx="3">
                  <c:v>8.8057913655791307</c:v>
                </c:pt>
                <c:pt idx="4">
                  <c:v>9.3119592536381965</c:v>
                </c:pt>
                <c:pt idx="5">
                  <c:v>9.6443685850249885</c:v>
                </c:pt>
                <c:pt idx="6">
                  <c:v>9.5900230757650942</c:v>
                </c:pt>
                <c:pt idx="7">
                  <c:v>9.970424146541772</c:v>
                </c:pt>
                <c:pt idx="8">
                  <c:v>9.8653076769082961</c:v>
                </c:pt>
                <c:pt idx="9">
                  <c:v>10.067107637437317</c:v>
                </c:pt>
                <c:pt idx="10">
                  <c:v>10.224288054801855</c:v>
                </c:pt>
                <c:pt idx="11">
                  <c:v>10.378675307017645</c:v>
                </c:pt>
                <c:pt idx="12">
                  <c:v>10.394499499489338</c:v>
                </c:pt>
                <c:pt idx="13">
                  <c:v>10.656699125817251</c:v>
                </c:pt>
                <c:pt idx="14">
                  <c:v>10.488244407367828</c:v>
                </c:pt>
                <c:pt idx="15">
                  <c:v>10.69050968832477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4C44-4D25-A007-E64BA603D33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78679920"/>
        <c:axId val="802641424"/>
      </c:scatterChart>
      <c:valAx>
        <c:axId val="578679920"/>
        <c:scaling>
          <c:orientation val="minMax"/>
          <c:max val="21"/>
          <c:min val="4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AU"/>
                  <a:t>Mean dwell time, </a:t>
                </a:r>
                <a:r>
                  <a:rPr lang="en-AU" i="1"/>
                  <a:t>K</a:t>
                </a:r>
                <a:endParaRPr lang="en-AU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#,##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02641424"/>
        <c:crosses val="autoZero"/>
        <c:crossBetween val="midCat"/>
        <c:majorUnit val="2"/>
        <c:minorUnit val="1"/>
      </c:valAx>
      <c:valAx>
        <c:axId val="802641424"/>
        <c:scaling>
          <c:orientation val="minMax"/>
          <c:max val="13"/>
          <c:min val="4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AU"/>
                  <a:t>Q</a:t>
                </a:r>
                <a:r>
                  <a:rPr lang="en-AU" baseline="0"/>
                  <a:t>uality score, </a:t>
                </a:r>
                <a:r>
                  <a:rPr lang="en-AU" i="1" baseline="0"/>
                  <a:t>Q</a:t>
                </a:r>
                <a:endParaRPr lang="en-AU" i="1"/>
              </a:p>
            </c:rich>
          </c:tx>
          <c:layout>
            <c:manualLayout>
              <c:xMode val="edge"/>
              <c:yMode val="edge"/>
              <c:x val="1.2630035540302917E-2"/>
              <c:y val="0.3506217297161231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#,##0.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78679920"/>
        <c:crosses val="autoZero"/>
        <c:crossBetween val="midCat"/>
        <c:majorUnit val="1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7715254705504232"/>
          <c:y val="0.34878351652668288"/>
          <c:w val="0.21228217619277828"/>
          <c:h val="0.3436151953612574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6350" cap="flat" cmpd="sng" algn="ctr">
      <a:solidFill>
        <a:schemeClr val="tx1"/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AU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Quality score vs. </a:t>
            </a:r>
            <a:r>
              <a:rPr lang="en-AU" sz="1400" b="0" i="1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cs typeface="Times New Roman" panose="02020603050405020304" pitchFamily="18" charset="0"/>
              </a:rPr>
              <a:t>σ</a:t>
            </a:r>
            <a:r>
              <a:rPr lang="en-AU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cs typeface="Times New Roman" panose="02020603050405020304" pitchFamily="18" charset="0"/>
              </a:rPr>
              <a:t> : Dorado R10 'sup'</a:t>
            </a:r>
            <a:endParaRPr lang="en-AU" sz="1400" b="0" i="0" u="none" strike="noStrike" kern="1200" spc="0" baseline="0">
              <a:solidFill>
                <a:sysClr val="windowText" lastClr="000000">
                  <a:lumMod val="65000"/>
                  <a:lumOff val="35000"/>
                </a:sysClr>
              </a:solidFill>
            </a:endParaRPr>
          </a:p>
        </c:rich>
      </c:tx>
      <c:layout>
        <c:manualLayout>
          <c:xMode val="edge"/>
          <c:yMode val="edge"/>
          <c:x val="0.2371309731511505"/>
          <c:y val="3.2615699591851961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1368158226066076"/>
          <c:y val="0.15826550596557501"/>
          <c:w val="0.66061018822016926"/>
          <c:h val="0.65642128030386226"/>
        </c:manualLayout>
      </c:layout>
      <c:scatterChart>
        <c:scatterStyle val="lineMarker"/>
        <c:varyColors val="0"/>
        <c:ser>
          <c:idx val="1"/>
          <c:order val="0"/>
          <c:tx>
            <c:v>Codebook 1</c:v>
          </c:tx>
          <c:spPr>
            <a:ln w="19050" cap="rnd">
              <a:solidFill>
                <a:srgbClr val="FF0000"/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rgbClr val="FF0000"/>
              </a:solidFill>
              <a:ln w="9525">
                <a:solidFill>
                  <a:srgbClr val="FF0000"/>
                </a:solidFill>
              </a:ln>
              <a:effectLst/>
            </c:spPr>
          </c:marker>
          <c:errBars>
            <c:errDir val="x"/>
            <c:errBarType val="both"/>
            <c:errValType val="stdErr"/>
            <c:noEndCap val="0"/>
            <c:spPr>
              <a:noFill/>
              <a:ln w="9525" cap="flat" cmpd="sng" algn="ctr">
                <a:noFill/>
                <a:round/>
              </a:ln>
              <a:effectLst/>
            </c:spPr>
          </c:errBars>
          <c:errBars>
            <c:errDir val="y"/>
            <c:errBarType val="both"/>
            <c:errValType val="cust"/>
            <c:noEndCap val="0"/>
            <c:plus>
              <c:numRef>
                <c:f>'R10.K.Ds.sd'!$O$3:$O$23</c:f>
                <c:numCache>
                  <c:formatCode>General</c:formatCode>
                  <c:ptCount val="21"/>
                  <c:pt idx="0">
                    <c:v>2.5575992886784693E-2</c:v>
                  </c:pt>
                  <c:pt idx="1">
                    <c:v>2.8917727391948311E-2</c:v>
                  </c:pt>
                  <c:pt idx="2">
                    <c:v>3.5359236434837626E-2</c:v>
                  </c:pt>
                  <c:pt idx="3">
                    <c:v>3.6626883378455322E-2</c:v>
                  </c:pt>
                  <c:pt idx="4">
                    <c:v>3.827371712502492E-2</c:v>
                  </c:pt>
                  <c:pt idx="5">
                    <c:v>4.10212900793816E-2</c:v>
                  </c:pt>
                  <c:pt idx="6">
                    <c:v>6.5191226706659666E-2</c:v>
                  </c:pt>
                  <c:pt idx="7">
                    <c:v>9.7220110253550374E-2</c:v>
                  </c:pt>
                  <c:pt idx="8">
                    <c:v>0.10003412903354203</c:v>
                  </c:pt>
                  <c:pt idx="9">
                    <c:v>9.6352895933867089E-2</c:v>
                  </c:pt>
                  <c:pt idx="10">
                    <c:v>6.5715262882934056E-2</c:v>
                  </c:pt>
                  <c:pt idx="11">
                    <c:v>5.2769973929368774E-2</c:v>
                  </c:pt>
                  <c:pt idx="12">
                    <c:v>5.0304249798330147E-2</c:v>
                  </c:pt>
                  <c:pt idx="13">
                    <c:v>4.9561112819649367E-2</c:v>
                  </c:pt>
                  <c:pt idx="14">
                    <c:v>4.2874807271797266E-2</c:v>
                  </c:pt>
                  <c:pt idx="15">
                    <c:v>4.5423216321164972E-2</c:v>
                  </c:pt>
                  <c:pt idx="16">
                    <c:v>4.232409441701801E-2</c:v>
                  </c:pt>
                  <c:pt idx="17">
                    <c:v>3.719678361038703E-2</c:v>
                  </c:pt>
                  <c:pt idx="18">
                    <c:v>3.3760655450005395E-2</c:v>
                  </c:pt>
                  <c:pt idx="19">
                    <c:v>3.1142879475710927E-2</c:v>
                  </c:pt>
                  <c:pt idx="20">
                    <c:v>2.8268183058495211E-2</c:v>
                  </c:pt>
                </c:numCache>
              </c:numRef>
            </c:plus>
            <c:minus>
              <c:numRef>
                <c:f>'R10.K.Ds.sd'!$N$3:$N$23</c:f>
                <c:numCache>
                  <c:formatCode>General</c:formatCode>
                  <c:ptCount val="21"/>
                  <c:pt idx="0">
                    <c:v>2.5426254952880978E-2</c:v>
                  </c:pt>
                  <c:pt idx="1">
                    <c:v>2.8726450105085899E-2</c:v>
                  </c:pt>
                  <c:pt idx="2">
                    <c:v>3.507367326222921E-2</c:v>
                  </c:pt>
                  <c:pt idx="3">
                    <c:v>3.6320566574834956E-2</c:v>
                  </c:pt>
                  <c:pt idx="4">
                    <c:v>3.7939361117320658E-2</c:v>
                  </c:pt>
                  <c:pt idx="5">
                    <c:v>4.0637446209296435E-2</c:v>
                  </c:pt>
                  <c:pt idx="6">
                    <c:v>6.4227106395081446E-2</c:v>
                  </c:pt>
                  <c:pt idx="7">
                    <c:v>9.5091331794856515E-2</c:v>
                  </c:pt>
                  <c:pt idx="8">
                    <c:v>9.7781755158960593E-2</c:v>
                  </c:pt>
                  <c:pt idx="9">
                    <c:v>9.4261518960369273E-2</c:v>
                  </c:pt>
                  <c:pt idx="10">
                    <c:v>6.4735696380713748E-2</c:v>
                  </c:pt>
                  <c:pt idx="11">
                    <c:v>5.2136469772942284E-2</c:v>
                  </c:pt>
                  <c:pt idx="12">
                    <c:v>4.9728242120099964E-2</c:v>
                  </c:pt>
                  <c:pt idx="13">
                    <c:v>4.9001903566170846E-2</c:v>
                  </c:pt>
                  <c:pt idx="14">
                    <c:v>4.2455669255473616E-2</c:v>
                  </c:pt>
                  <c:pt idx="15">
                    <c:v>4.4953044497408889E-2</c:v>
                  </c:pt>
                  <c:pt idx="16">
                    <c:v>4.1915603419359293E-2</c:v>
                  </c:pt>
                  <c:pt idx="17">
                    <c:v>3.6880901350968998E-2</c:v>
                  </c:pt>
                  <c:pt idx="18">
                    <c:v>3.3500234109198779E-2</c:v>
                  </c:pt>
                  <c:pt idx="19">
                    <c:v>3.0921145686630069E-2</c:v>
                  </c:pt>
                  <c:pt idx="20">
                    <c:v>2.8085375000884483E-2</c:v>
                  </c:pt>
                </c:numCache>
              </c:numRef>
            </c:minus>
            <c:spPr>
              <a:noFill/>
              <a:ln w="9525" cap="flat" cmpd="sng" algn="ctr">
                <a:solidFill>
                  <a:schemeClr val="tx1">
                    <a:lumMod val="65000"/>
                    <a:lumOff val="35000"/>
                  </a:schemeClr>
                </a:solidFill>
                <a:round/>
              </a:ln>
              <a:effectLst/>
            </c:spPr>
          </c:errBars>
          <c:xVal>
            <c:numRef>
              <c:f>'R10.K.Ds.sd'!$D$3:$D$23</c:f>
              <c:numCache>
                <c:formatCode>#,##0.00</c:formatCode>
                <c:ptCount val="21"/>
                <c:pt idx="0">
                  <c:v>0</c:v>
                </c:pt>
                <c:pt idx="1">
                  <c:v>0.01</c:v>
                </c:pt>
                <c:pt idx="2">
                  <c:v>0.02</c:v>
                </c:pt>
                <c:pt idx="3">
                  <c:v>0.03</c:v>
                </c:pt>
                <c:pt idx="4">
                  <c:v>0.04</c:v>
                </c:pt>
                <c:pt idx="5">
                  <c:v>0.05</c:v>
                </c:pt>
                <c:pt idx="6">
                  <c:v>0.06</c:v>
                </c:pt>
                <c:pt idx="7">
                  <c:v>7.0000000000000007E-2</c:v>
                </c:pt>
                <c:pt idx="8">
                  <c:v>0.08</c:v>
                </c:pt>
                <c:pt idx="9">
                  <c:v>0.09</c:v>
                </c:pt>
                <c:pt idx="10">
                  <c:v>0.1</c:v>
                </c:pt>
                <c:pt idx="11">
                  <c:v>0.11</c:v>
                </c:pt>
                <c:pt idx="12">
                  <c:v>0.12</c:v>
                </c:pt>
                <c:pt idx="13">
                  <c:v>0.13</c:v>
                </c:pt>
                <c:pt idx="14">
                  <c:v>0.14000000000000001</c:v>
                </c:pt>
                <c:pt idx="15">
                  <c:v>0.15</c:v>
                </c:pt>
                <c:pt idx="16">
                  <c:v>0.16</c:v>
                </c:pt>
                <c:pt idx="17">
                  <c:v>0.17</c:v>
                </c:pt>
                <c:pt idx="18">
                  <c:v>0.18</c:v>
                </c:pt>
                <c:pt idx="19">
                  <c:v>0.19</c:v>
                </c:pt>
                <c:pt idx="20">
                  <c:v>0.2</c:v>
                </c:pt>
              </c:numCache>
            </c:numRef>
          </c:xVal>
          <c:yVal>
            <c:numRef>
              <c:f>'R10.K.Ds.sd'!$K$3:$K$23</c:f>
              <c:numCache>
                <c:formatCode>#,##0.0000</c:formatCode>
                <c:ptCount val="21"/>
                <c:pt idx="0">
                  <c:v>2.8664948414631719</c:v>
                </c:pt>
                <c:pt idx="1">
                  <c:v>2.8519540300822626</c:v>
                </c:pt>
                <c:pt idx="2">
                  <c:v>2.7509635961562462</c:v>
                </c:pt>
                <c:pt idx="3">
                  <c:v>2.6690978307782847</c:v>
                </c:pt>
                <c:pt idx="4">
                  <c:v>2.683306681713638</c:v>
                </c:pt>
                <c:pt idx="5">
                  <c:v>2.9234467646881308</c:v>
                </c:pt>
                <c:pt idx="6">
                  <c:v>3.4286443814351597</c:v>
                </c:pt>
                <c:pt idx="7">
                  <c:v>4.4229233906382568</c:v>
                </c:pt>
                <c:pt idx="8">
                  <c:v>5.279264804816802</c:v>
                </c:pt>
                <c:pt idx="9">
                  <c:v>5.7760169024286938</c:v>
                </c:pt>
                <c:pt idx="10">
                  <c:v>5.985994592184559</c:v>
                </c:pt>
                <c:pt idx="11">
                  <c:v>5.9914554281882353</c:v>
                </c:pt>
                <c:pt idx="12">
                  <c:v>5.7154122648441987</c:v>
                </c:pt>
                <c:pt idx="13">
                  <c:v>5.5333341298860343</c:v>
                </c:pt>
                <c:pt idx="14">
                  <c:v>5.2853714803906229</c:v>
                </c:pt>
                <c:pt idx="15">
                  <c:v>5.0617032037423826</c:v>
                </c:pt>
                <c:pt idx="16">
                  <c:v>4.8313423850218573</c:v>
                </c:pt>
                <c:pt idx="17">
                  <c:v>4.6058931376239727</c:v>
                </c:pt>
                <c:pt idx="18">
                  <c:v>4.5236885286783837</c:v>
                </c:pt>
                <c:pt idx="19">
                  <c:v>4.4587441848698735</c:v>
                </c:pt>
                <c:pt idx="20">
                  <c:v>4.4187167603331332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B59E-4FF0-88CB-4C4AEF89BCA9}"/>
            </c:ext>
          </c:extLst>
        </c:ser>
        <c:ser>
          <c:idx val="0"/>
          <c:order val="1"/>
          <c:tx>
            <c:v>Codebook 2</c:v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errBars>
            <c:errDir val="x"/>
            <c:errBarType val="both"/>
            <c:errValType val="stdErr"/>
            <c:noEndCap val="0"/>
            <c:spPr>
              <a:noFill/>
              <a:ln w="9525" cap="flat" cmpd="sng" algn="ctr">
                <a:noFill/>
                <a:round/>
              </a:ln>
              <a:effectLst/>
            </c:spPr>
          </c:errBars>
          <c:errBars>
            <c:errDir val="y"/>
            <c:errBarType val="both"/>
            <c:errValType val="cust"/>
            <c:noEndCap val="0"/>
            <c:plus>
              <c:numRef>
                <c:f>'R10.K.Ds.sd'!$O$25:$O$45</c:f>
                <c:numCache>
                  <c:formatCode>General</c:formatCode>
                  <c:ptCount val="21"/>
                  <c:pt idx="0">
                    <c:v>2.4686560495578158E-2</c:v>
                  </c:pt>
                  <c:pt idx="1">
                    <c:v>2.3975416980590358E-2</c:v>
                  </c:pt>
                  <c:pt idx="2">
                    <c:v>2.6210692025389282E-2</c:v>
                  </c:pt>
                  <c:pt idx="3">
                    <c:v>2.5950205500750778E-2</c:v>
                  </c:pt>
                  <c:pt idx="4">
                    <c:v>2.9741149585686744E-2</c:v>
                  </c:pt>
                  <c:pt idx="5">
                    <c:v>4.2876666319103141E-2</c:v>
                  </c:pt>
                  <c:pt idx="6">
                    <c:v>7.1412575899576058E-2</c:v>
                  </c:pt>
                  <c:pt idx="7">
                    <c:v>9.1279504338577233E-2</c:v>
                  </c:pt>
                  <c:pt idx="8">
                    <c:v>7.7298578646747274E-2</c:v>
                  </c:pt>
                  <c:pt idx="9">
                    <c:v>6.1460695965105394E-2</c:v>
                  </c:pt>
                  <c:pt idx="10">
                    <c:v>4.46586368485411E-2</c:v>
                  </c:pt>
                  <c:pt idx="11">
                    <c:v>4.41389588356218E-2</c:v>
                  </c:pt>
                  <c:pt idx="12">
                    <c:v>3.7196820026863087E-2</c:v>
                  </c:pt>
                  <c:pt idx="13">
                    <c:v>3.7845662203509711E-2</c:v>
                  </c:pt>
                  <c:pt idx="14">
                    <c:v>3.5128685171774698E-2</c:v>
                  </c:pt>
                  <c:pt idx="15">
                    <c:v>3.0787254272017783E-2</c:v>
                  </c:pt>
                  <c:pt idx="16">
                    <c:v>3.0285172720960318E-2</c:v>
                  </c:pt>
                  <c:pt idx="17">
                    <c:v>2.9456900679993403E-2</c:v>
                  </c:pt>
                  <c:pt idx="18">
                    <c:v>2.9816795052314049E-2</c:v>
                  </c:pt>
                  <c:pt idx="19">
                    <c:v>3.07068571239828E-2</c:v>
                  </c:pt>
                  <c:pt idx="20">
                    <c:v>3.4073062769706119E-2</c:v>
                  </c:pt>
                </c:numCache>
              </c:numRef>
            </c:plus>
            <c:minus>
              <c:numRef>
                <c:f>'R10.K.Ds.sd'!$N$25:$N$45</c:f>
                <c:numCache>
                  <c:formatCode>General</c:formatCode>
                  <c:ptCount val="21"/>
                  <c:pt idx="0">
                    <c:v>2.4547027682803257E-2</c:v>
                  </c:pt>
                  <c:pt idx="1">
                    <c:v>2.3843785983867161E-2</c:v>
                  </c:pt>
                  <c:pt idx="2">
                    <c:v>2.605345284380256E-2</c:v>
                  </c:pt>
                  <c:pt idx="3">
                    <c:v>2.5796066950469321E-2</c:v>
                  </c:pt>
                  <c:pt idx="4">
                    <c:v>2.9538862159829593E-2</c:v>
                  </c:pt>
                  <c:pt idx="5">
                    <c:v>4.2457492131817265E-2</c:v>
                  </c:pt>
                  <c:pt idx="6">
                    <c:v>7.0257284933943787E-2</c:v>
                  </c:pt>
                  <c:pt idx="7">
                    <c:v>8.9400428872069337E-2</c:v>
                  </c:pt>
                  <c:pt idx="8">
                    <c:v>7.5946792784747252E-2</c:v>
                  </c:pt>
                  <c:pt idx="9">
                    <c:v>6.0603036870751303E-2</c:v>
                  </c:pt>
                  <c:pt idx="10">
                    <c:v>4.4204080942701118E-2</c:v>
                  </c:pt>
                  <c:pt idx="11">
                    <c:v>4.369486790409649E-2</c:v>
                  </c:pt>
                  <c:pt idx="12">
                    <c:v>3.6880937151559046E-2</c:v>
                  </c:pt>
                  <c:pt idx="13">
                    <c:v>3.7518711379969538E-2</c:v>
                  </c:pt>
                  <c:pt idx="14">
                    <c:v>3.4846818925953649E-2</c:v>
                  </c:pt>
                  <c:pt idx="15">
                    <c:v>3.057053799321352E-2</c:v>
                  </c:pt>
                  <c:pt idx="16">
                    <c:v>3.0075443218056108E-2</c:v>
                  </c:pt>
                  <c:pt idx="17">
                    <c:v>2.9258448585422592E-2</c:v>
                  </c:pt>
                  <c:pt idx="18">
                    <c:v>2.961348081056947E-2</c:v>
                  </c:pt>
                  <c:pt idx="19">
                    <c:v>3.0491267265102984E-2</c:v>
                  </c:pt>
                  <c:pt idx="20">
                    <c:v>3.3807818372563858E-2</c:v>
                  </c:pt>
                </c:numCache>
              </c:numRef>
            </c:minus>
            <c:spPr>
              <a:noFill/>
              <a:ln w="9525" cap="flat" cmpd="sng" algn="ctr">
                <a:solidFill>
                  <a:schemeClr val="tx1">
                    <a:lumMod val="65000"/>
                    <a:lumOff val="35000"/>
                  </a:schemeClr>
                </a:solidFill>
                <a:round/>
              </a:ln>
              <a:effectLst/>
            </c:spPr>
          </c:errBars>
          <c:xVal>
            <c:numRef>
              <c:f>'R10.K.Ds.sd'!$D$25:$D$45</c:f>
              <c:numCache>
                <c:formatCode>#,##0.00</c:formatCode>
                <c:ptCount val="21"/>
                <c:pt idx="0">
                  <c:v>0</c:v>
                </c:pt>
                <c:pt idx="1">
                  <c:v>0.01</c:v>
                </c:pt>
                <c:pt idx="2">
                  <c:v>0.02</c:v>
                </c:pt>
                <c:pt idx="3">
                  <c:v>0.03</c:v>
                </c:pt>
                <c:pt idx="4">
                  <c:v>0.04</c:v>
                </c:pt>
                <c:pt idx="5">
                  <c:v>0.05</c:v>
                </c:pt>
                <c:pt idx="6">
                  <c:v>0.06</c:v>
                </c:pt>
                <c:pt idx="7">
                  <c:v>7.0000000000000007E-2</c:v>
                </c:pt>
                <c:pt idx="8">
                  <c:v>0.08</c:v>
                </c:pt>
                <c:pt idx="9">
                  <c:v>0.09</c:v>
                </c:pt>
                <c:pt idx="10">
                  <c:v>0.1</c:v>
                </c:pt>
                <c:pt idx="11">
                  <c:v>0.11</c:v>
                </c:pt>
                <c:pt idx="12">
                  <c:v>0.12</c:v>
                </c:pt>
                <c:pt idx="13">
                  <c:v>0.13</c:v>
                </c:pt>
                <c:pt idx="14">
                  <c:v>0.14000000000000001</c:v>
                </c:pt>
                <c:pt idx="15">
                  <c:v>0.15</c:v>
                </c:pt>
                <c:pt idx="16">
                  <c:v>0.16</c:v>
                </c:pt>
                <c:pt idx="17">
                  <c:v>0.17</c:v>
                </c:pt>
                <c:pt idx="18">
                  <c:v>0.18</c:v>
                </c:pt>
                <c:pt idx="19">
                  <c:v>0.19</c:v>
                </c:pt>
                <c:pt idx="20">
                  <c:v>0.2</c:v>
                </c:pt>
              </c:numCache>
            </c:numRef>
          </c:xVal>
          <c:yVal>
            <c:numRef>
              <c:f>'R10.K.Ds.sd'!$K$25:$K$45</c:f>
              <c:numCache>
                <c:formatCode>#,##0.0000</c:formatCode>
                <c:ptCount val="21"/>
                <c:pt idx="0">
                  <c:v>1.9050762306265814</c:v>
                </c:pt>
                <c:pt idx="1">
                  <c:v>1.9024955190022124</c:v>
                </c:pt>
                <c:pt idx="2">
                  <c:v>1.8664144138898946</c:v>
                </c:pt>
                <c:pt idx="3">
                  <c:v>1.7978759021161705</c:v>
                </c:pt>
                <c:pt idx="4">
                  <c:v>1.8724257192924607</c:v>
                </c:pt>
                <c:pt idx="5">
                  <c:v>2.2521548424753473</c:v>
                </c:pt>
                <c:pt idx="6">
                  <c:v>2.9985898072258048</c:v>
                </c:pt>
                <c:pt idx="7">
                  <c:v>4.0408144665756875</c:v>
                </c:pt>
                <c:pt idx="8">
                  <c:v>4.8408202291275284</c:v>
                </c:pt>
                <c:pt idx="9">
                  <c:v>5.1703118681474294</c:v>
                </c:pt>
                <c:pt idx="10">
                  <c:v>5.3199748459754304</c:v>
                </c:pt>
                <c:pt idx="11">
                  <c:v>5.2812180069270944</c:v>
                </c:pt>
                <c:pt idx="12">
                  <c:v>5.191310763128322</c:v>
                </c:pt>
                <c:pt idx="13">
                  <c:v>5.0751898987112343</c:v>
                </c:pt>
                <c:pt idx="14">
                  <c:v>4.949405091232598</c:v>
                </c:pt>
                <c:pt idx="15">
                  <c:v>4.8368502422205069</c:v>
                </c:pt>
                <c:pt idx="16">
                  <c:v>4.6898969247899993</c:v>
                </c:pt>
                <c:pt idx="17">
                  <c:v>4.5758957018840709</c:v>
                </c:pt>
                <c:pt idx="18">
                  <c:v>4.4313488948005659</c:v>
                </c:pt>
                <c:pt idx="19">
                  <c:v>4.3344466911694504</c:v>
                </c:pt>
                <c:pt idx="20">
                  <c:v>4.2289134485626523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B59E-4FF0-88CB-4C4AEF89BCA9}"/>
            </c:ext>
          </c:extLst>
        </c:ser>
        <c:ser>
          <c:idx val="2"/>
          <c:order val="2"/>
          <c:tx>
            <c:v>Codebook 3</c:v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errBars>
            <c:errDir val="x"/>
            <c:errBarType val="both"/>
            <c:errValType val="stdErr"/>
            <c:noEndCap val="0"/>
            <c:spPr>
              <a:noFill/>
              <a:ln w="9525" cap="flat" cmpd="sng" algn="ctr">
                <a:noFill/>
                <a:round/>
              </a:ln>
              <a:effectLst/>
            </c:spPr>
          </c:errBars>
          <c:errBars>
            <c:errDir val="y"/>
            <c:errBarType val="both"/>
            <c:errValType val="cust"/>
            <c:noEndCap val="0"/>
            <c:plus>
              <c:numRef>
                <c:f>'R10.K.Ds.sd'!$O$47:$O$67</c:f>
                <c:numCache>
                  <c:formatCode>General</c:formatCode>
                  <c:ptCount val="21"/>
                  <c:pt idx="0">
                    <c:v>3.7628999859322665E-2</c:v>
                  </c:pt>
                  <c:pt idx="1">
                    <c:v>3.8845007239570073E-2</c:v>
                  </c:pt>
                  <c:pt idx="2">
                    <c:v>4.1372461398434091E-2</c:v>
                  </c:pt>
                  <c:pt idx="3">
                    <c:v>5.0332673952625306E-2</c:v>
                  </c:pt>
                  <c:pt idx="4">
                    <c:v>5.3791218547436959E-2</c:v>
                  </c:pt>
                  <c:pt idx="5">
                    <c:v>6.4202986617860169E-2</c:v>
                  </c:pt>
                  <c:pt idx="6">
                    <c:v>7.7788664606992519E-2</c:v>
                  </c:pt>
                  <c:pt idx="7">
                    <c:v>7.9125491203810405E-2</c:v>
                  </c:pt>
                  <c:pt idx="8">
                    <c:v>7.0605035838245733E-2</c:v>
                  </c:pt>
                  <c:pt idx="9">
                    <c:v>5.6521677390706238E-2</c:v>
                  </c:pt>
                  <c:pt idx="10">
                    <c:v>4.556810546092116E-2</c:v>
                  </c:pt>
                  <c:pt idx="11">
                    <c:v>4.4108166572139673E-2</c:v>
                  </c:pt>
                  <c:pt idx="12">
                    <c:v>4.2559971483607129E-2</c:v>
                  </c:pt>
                  <c:pt idx="13">
                    <c:v>3.9796755999541134E-2</c:v>
                  </c:pt>
                  <c:pt idx="14">
                    <c:v>3.6749765479275887E-2</c:v>
                  </c:pt>
                  <c:pt idx="15">
                    <c:v>3.4542785362686068E-2</c:v>
                  </c:pt>
                  <c:pt idx="16">
                    <c:v>3.1351967284095394E-2</c:v>
                  </c:pt>
                  <c:pt idx="17">
                    <c:v>3.1296484007834025E-2</c:v>
                  </c:pt>
                  <c:pt idx="18">
                    <c:v>3.0330094613817415E-2</c:v>
                  </c:pt>
                  <c:pt idx="19">
                    <c:v>2.6231687839230133E-2</c:v>
                  </c:pt>
                  <c:pt idx="20">
                    <c:v>2.323894320464559E-2</c:v>
                  </c:pt>
                </c:numCache>
              </c:numRef>
            </c:plus>
            <c:minus>
              <c:numRef>
                <c:f>'R10.K.Ds.sd'!$N$47:$N$67</c:f>
                <c:numCache>
                  <c:formatCode>General</c:formatCode>
                  <c:ptCount val="21"/>
                  <c:pt idx="0">
                    <c:v>3.7305765873192787E-2</c:v>
                  </c:pt>
                  <c:pt idx="1">
                    <c:v>3.8500640090628924E-2</c:v>
                  </c:pt>
                  <c:pt idx="2">
                    <c:v>4.0982048671805771E-2</c:v>
                  </c:pt>
                  <c:pt idx="3">
                    <c:v>4.975601887411063E-2</c:v>
                  </c:pt>
                  <c:pt idx="4">
                    <c:v>5.3133109609435181E-2</c:v>
                  </c:pt>
                  <c:pt idx="5">
                    <c:v>6.3267665958695929E-2</c:v>
                  </c:pt>
                  <c:pt idx="6">
                    <c:v>7.6419834638286943E-2</c:v>
                  </c:pt>
                  <c:pt idx="7">
                    <c:v>7.7709636193481479E-2</c:v>
                  </c:pt>
                  <c:pt idx="8">
                    <c:v>6.9475519334919689E-2</c:v>
                  </c:pt>
                  <c:pt idx="9">
                    <c:v>5.5795511170371626E-2</c:v>
                  </c:pt>
                  <c:pt idx="10">
                    <c:v>4.5094944978659512E-2</c:v>
                  </c:pt>
                  <c:pt idx="11">
                    <c:v>4.3664691931267541E-2</c:v>
                  </c:pt>
                  <c:pt idx="12">
                    <c:v>4.2146936844381422E-2</c:v>
                  </c:pt>
                  <c:pt idx="13">
                    <c:v>3.9435385692115688E-2</c:v>
                  </c:pt>
                  <c:pt idx="14">
                    <c:v>3.6441398500522304E-2</c:v>
                  </c:pt>
                  <c:pt idx="15">
                    <c:v>3.4270206586914931E-2</c:v>
                  </c:pt>
                  <c:pt idx="16">
                    <c:v>3.1127256865833175E-2</c:v>
                  </c:pt>
                  <c:pt idx="17">
                    <c:v>3.1072565384770101E-2</c:v>
                  </c:pt>
                  <c:pt idx="18">
                    <c:v>3.0119744625608291E-2</c:v>
                  </c:pt>
                  <c:pt idx="19">
                    <c:v>2.6074197403048505E-2</c:v>
                  </c:pt>
                  <c:pt idx="20">
                    <c:v>2.3115254009324016E-2</c:v>
                  </c:pt>
                </c:numCache>
              </c:numRef>
            </c:minus>
            <c:spPr>
              <a:noFill/>
              <a:ln w="9525" cap="flat" cmpd="sng" algn="ctr">
                <a:solidFill>
                  <a:schemeClr val="tx1">
                    <a:lumMod val="65000"/>
                    <a:lumOff val="35000"/>
                  </a:schemeClr>
                </a:solidFill>
                <a:round/>
              </a:ln>
              <a:effectLst/>
            </c:spPr>
          </c:errBars>
          <c:xVal>
            <c:numRef>
              <c:f>'R10.K.Ds.sd'!$D$47:$D$67</c:f>
              <c:numCache>
                <c:formatCode>#,##0.00</c:formatCode>
                <c:ptCount val="21"/>
                <c:pt idx="0">
                  <c:v>0</c:v>
                </c:pt>
                <c:pt idx="1">
                  <c:v>0.01</c:v>
                </c:pt>
                <c:pt idx="2">
                  <c:v>0.02</c:v>
                </c:pt>
                <c:pt idx="3">
                  <c:v>0.03</c:v>
                </c:pt>
                <c:pt idx="4">
                  <c:v>0.04</c:v>
                </c:pt>
                <c:pt idx="5">
                  <c:v>0.05</c:v>
                </c:pt>
                <c:pt idx="6">
                  <c:v>0.06</c:v>
                </c:pt>
                <c:pt idx="7">
                  <c:v>7.0000000000000007E-2</c:v>
                </c:pt>
                <c:pt idx="8">
                  <c:v>0.08</c:v>
                </c:pt>
                <c:pt idx="9">
                  <c:v>0.09</c:v>
                </c:pt>
                <c:pt idx="10">
                  <c:v>0.1</c:v>
                </c:pt>
                <c:pt idx="11">
                  <c:v>0.11</c:v>
                </c:pt>
                <c:pt idx="12">
                  <c:v>0.12</c:v>
                </c:pt>
                <c:pt idx="13">
                  <c:v>0.13</c:v>
                </c:pt>
                <c:pt idx="14">
                  <c:v>0.14000000000000001</c:v>
                </c:pt>
                <c:pt idx="15">
                  <c:v>0.15</c:v>
                </c:pt>
                <c:pt idx="16">
                  <c:v>0.16</c:v>
                </c:pt>
                <c:pt idx="17">
                  <c:v>0.17</c:v>
                </c:pt>
                <c:pt idx="18">
                  <c:v>0.18</c:v>
                </c:pt>
                <c:pt idx="19">
                  <c:v>0.19</c:v>
                </c:pt>
                <c:pt idx="20">
                  <c:v>0.2</c:v>
                </c:pt>
              </c:numCache>
            </c:numRef>
          </c:xVal>
          <c:yVal>
            <c:numRef>
              <c:f>'R10.K.Ds.sd'!$K$47:$K$67</c:f>
              <c:numCache>
                <c:formatCode>#,##0.0000</c:formatCode>
                <c:ptCount val="21"/>
                <c:pt idx="0">
                  <c:v>2.5963731050575611</c:v>
                </c:pt>
                <c:pt idx="1">
                  <c:v>2.5869079110043058</c:v>
                </c:pt>
                <c:pt idx="2">
                  <c:v>2.5391095694379979</c:v>
                </c:pt>
                <c:pt idx="3">
                  <c:v>2.691504596417853</c:v>
                </c:pt>
                <c:pt idx="4">
                  <c:v>2.8266241727613628</c:v>
                </c:pt>
                <c:pt idx="5">
                  <c:v>3.3231361819719547</c:v>
                </c:pt>
                <c:pt idx="6">
                  <c:v>3.769230828855306</c:v>
                </c:pt>
                <c:pt idx="7">
                  <c:v>4.2556357979759554</c:v>
                </c:pt>
                <c:pt idx="8">
                  <c:v>4.7018480335536967</c:v>
                </c:pt>
                <c:pt idx="9">
                  <c:v>4.9250394148291425</c:v>
                </c:pt>
                <c:pt idx="10">
                  <c:v>5.0689063989620724</c:v>
                </c:pt>
                <c:pt idx="11">
                  <c:v>4.9435267746865046</c:v>
                </c:pt>
                <c:pt idx="12">
                  <c:v>4.8199083684638566</c:v>
                </c:pt>
                <c:pt idx="13">
                  <c:v>4.630209332000419</c:v>
                </c:pt>
                <c:pt idx="14">
                  <c:v>4.4468382347827253</c:v>
                </c:pt>
                <c:pt idx="15">
                  <c:v>4.3804439002875366</c:v>
                </c:pt>
                <c:pt idx="16">
                  <c:v>4.2846585257332954</c:v>
                </c:pt>
                <c:pt idx="17">
                  <c:v>4.2506248554969535</c:v>
                </c:pt>
                <c:pt idx="18">
                  <c:v>4.1412585353319518</c:v>
                </c:pt>
                <c:pt idx="19">
                  <c:v>4.0022606085361172</c:v>
                </c:pt>
                <c:pt idx="20">
                  <c:v>3.9165228483299055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B59E-4FF0-88CB-4C4AEF89BCA9}"/>
            </c:ext>
          </c:extLst>
        </c:ser>
        <c:ser>
          <c:idx val="3"/>
          <c:order val="3"/>
          <c:tx>
            <c:v>Codebook 4</c:v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errBars>
            <c:errDir val="x"/>
            <c:errBarType val="both"/>
            <c:errValType val="stdErr"/>
            <c:noEndCap val="0"/>
            <c:spPr>
              <a:noFill/>
              <a:ln w="9525" cap="flat" cmpd="sng" algn="ctr">
                <a:noFill/>
                <a:round/>
              </a:ln>
              <a:effectLst/>
            </c:spPr>
          </c:errBars>
          <c:errBars>
            <c:errDir val="y"/>
            <c:errBarType val="both"/>
            <c:errValType val="cust"/>
            <c:noEndCap val="0"/>
            <c:plus>
              <c:numRef>
                <c:f>'R10.K.Ds.sd'!$O$69:$O$89</c:f>
                <c:numCache>
                  <c:formatCode>General</c:formatCode>
                  <c:ptCount val="21"/>
                  <c:pt idx="0">
                    <c:v>5.0483654123377075E-2</c:v>
                  </c:pt>
                  <c:pt idx="1">
                    <c:v>5.3393450002598986E-2</c:v>
                  </c:pt>
                  <c:pt idx="2">
                    <c:v>6.2919241904910272E-2</c:v>
                  </c:pt>
                  <c:pt idx="3">
                    <c:v>6.6794047017821878E-2</c:v>
                  </c:pt>
                  <c:pt idx="4">
                    <c:v>6.9235644104856497E-2</c:v>
                  </c:pt>
                  <c:pt idx="5">
                    <c:v>7.0455694089670118E-2</c:v>
                  </c:pt>
                  <c:pt idx="6">
                    <c:v>5.9574266032492496E-2</c:v>
                  </c:pt>
                  <c:pt idx="7">
                    <c:v>5.8349115393393269E-2</c:v>
                  </c:pt>
                  <c:pt idx="8">
                    <c:v>5.1877480176500512E-2</c:v>
                  </c:pt>
                  <c:pt idx="9">
                    <c:v>5.2469143566129972E-2</c:v>
                  </c:pt>
                  <c:pt idx="10">
                    <c:v>4.9669387330491865E-2</c:v>
                  </c:pt>
                  <c:pt idx="11">
                    <c:v>4.6257212900838063E-2</c:v>
                  </c:pt>
                  <c:pt idx="12">
                    <c:v>5.0954465493666667E-2</c:v>
                  </c:pt>
                  <c:pt idx="13">
                    <c:v>4.5288583982948438E-2</c:v>
                  </c:pt>
                  <c:pt idx="14">
                    <c:v>4.4616211153797103E-2</c:v>
                  </c:pt>
                  <c:pt idx="15">
                    <c:v>4.4339409360702575E-2</c:v>
                  </c:pt>
                  <c:pt idx="16">
                    <c:v>4.2015833062602148E-2</c:v>
                  </c:pt>
                  <c:pt idx="17">
                    <c:v>3.6577173809785535E-2</c:v>
                  </c:pt>
                  <c:pt idx="18">
                    <c:v>3.5114719086696944E-2</c:v>
                  </c:pt>
                  <c:pt idx="19">
                    <c:v>3.9631127683891876E-2</c:v>
                  </c:pt>
                  <c:pt idx="20">
                    <c:v>4.3222620235087383E-2</c:v>
                  </c:pt>
                </c:numCache>
              </c:numRef>
            </c:plus>
            <c:minus>
              <c:numRef>
                <c:f>'R10.K.Ds.sd'!$N$69:$N$89</c:f>
                <c:numCache>
                  <c:formatCode>General</c:formatCode>
                  <c:ptCount val="21"/>
                  <c:pt idx="0">
                    <c:v>4.9903554232890279E-2</c:v>
                  </c:pt>
                  <c:pt idx="1">
                    <c:v>5.274497953220969E-2</c:v>
                  </c:pt>
                  <c:pt idx="2">
                    <c:v>6.2020689832431586E-2</c:v>
                  </c:pt>
                  <c:pt idx="3">
                    <c:v>6.578230229728943E-2</c:v>
                  </c:pt>
                  <c:pt idx="4">
                    <c:v>6.8149180661602138E-2</c:v>
                  </c:pt>
                  <c:pt idx="5">
                    <c:v>6.9330912815230405E-2</c:v>
                  </c:pt>
                  <c:pt idx="6">
                    <c:v>5.8768103183084897E-2</c:v>
                  </c:pt>
                  <c:pt idx="7">
                    <c:v>5.7575554439930343E-2</c:v>
                  </c:pt>
                  <c:pt idx="8">
                    <c:v>5.1265099512051826E-2</c:v>
                  </c:pt>
                  <c:pt idx="9">
                    <c:v>5.1842798984787386E-2</c:v>
                  </c:pt>
                  <c:pt idx="10">
                    <c:v>4.9107745855005547E-2</c:v>
                  </c:pt>
                  <c:pt idx="11">
                    <c:v>4.5769709811565917E-2</c:v>
                  </c:pt>
                  <c:pt idx="12">
                    <c:v>5.0363558310161594E-2</c:v>
                  </c:pt>
                  <c:pt idx="13">
                    <c:v>4.4821180849153208E-2</c:v>
                  </c:pt>
                  <c:pt idx="14">
                    <c:v>4.4162514114096219E-2</c:v>
                  </c:pt>
                  <c:pt idx="15">
                    <c:v>4.3891296165007532E-2</c:v>
                  </c:pt>
                  <c:pt idx="16">
                    <c:v>4.1613242509473736E-2</c:v>
                  </c:pt>
                  <c:pt idx="17">
                    <c:v>3.6271684438341723E-2</c:v>
                  </c:pt>
                  <c:pt idx="18">
                    <c:v>3.4833076021778098E-2</c:v>
                  </c:pt>
                  <c:pt idx="19">
                    <c:v>3.9272745535214426E-2</c:v>
                  </c:pt>
                  <c:pt idx="20">
                    <c:v>4.2796688018898799E-2</c:v>
                  </c:pt>
                </c:numCache>
              </c:numRef>
            </c:minus>
            <c:spPr>
              <a:noFill/>
              <a:ln w="9525" cap="flat" cmpd="sng" algn="ctr">
                <a:solidFill>
                  <a:schemeClr val="tx1">
                    <a:lumMod val="65000"/>
                    <a:lumOff val="35000"/>
                  </a:schemeClr>
                </a:solidFill>
                <a:round/>
              </a:ln>
              <a:effectLst/>
            </c:spPr>
          </c:errBars>
          <c:xVal>
            <c:numRef>
              <c:f>'R10.K.Ds.sd'!$D$69:$D$89</c:f>
              <c:numCache>
                <c:formatCode>#,##0.00</c:formatCode>
                <c:ptCount val="21"/>
                <c:pt idx="0">
                  <c:v>0</c:v>
                </c:pt>
                <c:pt idx="1">
                  <c:v>0.01</c:v>
                </c:pt>
                <c:pt idx="2">
                  <c:v>0.02</c:v>
                </c:pt>
                <c:pt idx="3">
                  <c:v>0.03</c:v>
                </c:pt>
                <c:pt idx="4">
                  <c:v>0.04</c:v>
                </c:pt>
                <c:pt idx="5">
                  <c:v>0.05</c:v>
                </c:pt>
                <c:pt idx="6">
                  <c:v>0.06</c:v>
                </c:pt>
                <c:pt idx="7">
                  <c:v>7.0000000000000007E-2</c:v>
                </c:pt>
                <c:pt idx="8">
                  <c:v>0.08</c:v>
                </c:pt>
                <c:pt idx="9">
                  <c:v>0.09</c:v>
                </c:pt>
                <c:pt idx="10">
                  <c:v>0.1</c:v>
                </c:pt>
                <c:pt idx="11">
                  <c:v>0.11</c:v>
                </c:pt>
                <c:pt idx="12">
                  <c:v>0.12</c:v>
                </c:pt>
                <c:pt idx="13">
                  <c:v>0.13</c:v>
                </c:pt>
                <c:pt idx="14">
                  <c:v>0.14000000000000001</c:v>
                </c:pt>
                <c:pt idx="15">
                  <c:v>0.15</c:v>
                </c:pt>
                <c:pt idx="16">
                  <c:v>0.16</c:v>
                </c:pt>
                <c:pt idx="17">
                  <c:v>0.17</c:v>
                </c:pt>
                <c:pt idx="18">
                  <c:v>0.18</c:v>
                </c:pt>
                <c:pt idx="19">
                  <c:v>0.19</c:v>
                </c:pt>
                <c:pt idx="20">
                  <c:v>0.2</c:v>
                </c:pt>
              </c:numCache>
            </c:numRef>
          </c:xVal>
          <c:yVal>
            <c:numRef>
              <c:f>'R10.K.Ds.sd'!$K$69:$K$89</c:f>
              <c:numCache>
                <c:formatCode>#,##0.0000</c:formatCode>
                <c:ptCount val="21"/>
                <c:pt idx="0">
                  <c:v>3.5756845705254525</c:v>
                </c:pt>
                <c:pt idx="1">
                  <c:v>3.6141091670728303</c:v>
                </c:pt>
                <c:pt idx="2">
                  <c:v>3.7728528962707104</c:v>
                </c:pt>
                <c:pt idx="3">
                  <c:v>3.7847752890260549</c:v>
                </c:pt>
                <c:pt idx="4">
                  <c:v>4.0520244435585608</c:v>
                </c:pt>
                <c:pt idx="5">
                  <c:v>4.5748578371834601</c:v>
                </c:pt>
                <c:pt idx="6">
                  <c:v>4.9814229727545758</c:v>
                </c:pt>
                <c:pt idx="7">
                  <c:v>5.2988364684899603</c:v>
                </c:pt>
                <c:pt idx="8">
                  <c:v>5.5488900350701282</c:v>
                </c:pt>
                <c:pt idx="9">
                  <c:v>5.632279654887463</c:v>
                </c:pt>
                <c:pt idx="10">
                  <c:v>5.6217019359178089</c:v>
                </c:pt>
                <c:pt idx="11">
                  <c:v>5.4624860092700045</c:v>
                </c:pt>
                <c:pt idx="12">
                  <c:v>5.3404738700713583</c:v>
                </c:pt>
                <c:pt idx="13">
                  <c:v>5.1394753834441076</c:v>
                </c:pt>
                <c:pt idx="14">
                  <c:v>4.9126833055685619</c:v>
                </c:pt>
                <c:pt idx="15">
                  <c:v>4.7460962343475419</c:v>
                </c:pt>
                <c:pt idx="16">
                  <c:v>4.5933690162298406</c:v>
                </c:pt>
                <c:pt idx="17">
                  <c:v>4.4171153056686503</c:v>
                </c:pt>
                <c:pt idx="18">
                  <c:v>4.3089931749802606</c:v>
                </c:pt>
                <c:pt idx="19">
                  <c:v>4.2153270841455264</c:v>
                </c:pt>
                <c:pt idx="20">
                  <c:v>4.1421977738180695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B59E-4FF0-88CB-4C4AEF89BCA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78679920"/>
        <c:axId val="802641424"/>
      </c:scatterChart>
      <c:valAx>
        <c:axId val="578679920"/>
        <c:scaling>
          <c:orientation val="minMax"/>
          <c:max val="0.2"/>
          <c:min val="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AU"/>
                  <a:t>Normalised</a:t>
                </a:r>
                <a:r>
                  <a:rPr lang="en-AU" baseline="0"/>
                  <a:t> noise, </a:t>
                </a:r>
                <a:r>
                  <a:rPr lang="en-AU" sz="1000" b="0" i="1" u="none" strike="noStrike" kern="1200" spc="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  <a:cs typeface="Times New Roman" panose="02020603050405020304" pitchFamily="18" charset="0"/>
                  </a:rPr>
                  <a:t>σ</a:t>
                </a:r>
                <a:r>
                  <a:rPr lang="en-AU" baseline="0"/>
                  <a:t> </a:t>
                </a:r>
                <a:endParaRPr lang="en-AU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#,##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02641424"/>
        <c:crosses val="autoZero"/>
        <c:crossBetween val="midCat"/>
        <c:majorUnit val="2.0000000000000004E-2"/>
      </c:valAx>
      <c:valAx>
        <c:axId val="802641424"/>
        <c:scaling>
          <c:orientation val="minMax"/>
          <c:min val="1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AU"/>
                  <a:t>Q</a:t>
                </a:r>
                <a:r>
                  <a:rPr lang="en-AU" baseline="0"/>
                  <a:t>uality score, </a:t>
                </a:r>
                <a:r>
                  <a:rPr lang="en-AU" i="1" baseline="0"/>
                  <a:t>Q</a:t>
                </a:r>
                <a:endParaRPr lang="en-AU" i="1"/>
              </a:p>
            </c:rich>
          </c:tx>
          <c:layout>
            <c:manualLayout>
              <c:xMode val="edge"/>
              <c:yMode val="edge"/>
              <c:x val="1.2630035540302917E-2"/>
              <c:y val="0.3506217297161231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#,##0.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78679920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7715254705504232"/>
          <c:y val="0.34878351652668288"/>
          <c:w val="0.21228217619277828"/>
          <c:h val="0.3436151953612574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6350" cap="flat" cmpd="sng" algn="ctr">
      <a:solidFill>
        <a:schemeClr val="tx1"/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AU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Quality Score vs. </a:t>
            </a:r>
            <a:r>
              <a:rPr lang="en-AU" sz="1400" b="0" i="1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cs typeface="Times New Roman" panose="02020603050405020304" pitchFamily="18" charset="0"/>
              </a:rPr>
              <a:t>K</a:t>
            </a:r>
            <a:r>
              <a:rPr lang="en-AU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cs typeface="Times New Roman" panose="02020603050405020304" pitchFamily="18" charset="0"/>
              </a:rPr>
              <a:t> : Dorado R10 'sup'</a:t>
            </a:r>
            <a:endParaRPr lang="en-AU" sz="1400" b="0" i="0" u="none" strike="noStrike" kern="1200" spc="0" baseline="0">
              <a:solidFill>
                <a:sysClr val="windowText" lastClr="000000">
                  <a:lumMod val="65000"/>
                  <a:lumOff val="35000"/>
                </a:sysClr>
              </a:solidFill>
            </a:endParaRPr>
          </a:p>
        </c:rich>
      </c:tx>
      <c:layout>
        <c:manualLayout>
          <c:xMode val="edge"/>
          <c:yMode val="edge"/>
          <c:x val="0.2183916734639065"/>
          <c:y val="3.2615704766297798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1368158226066076"/>
          <c:y val="0.15826550596557501"/>
          <c:w val="0.66061018822016926"/>
          <c:h val="0.65642128030386226"/>
        </c:manualLayout>
      </c:layout>
      <c:scatterChart>
        <c:scatterStyle val="lineMarker"/>
        <c:varyColors val="0"/>
        <c:ser>
          <c:idx val="1"/>
          <c:order val="0"/>
          <c:tx>
            <c:v>Codebook 1</c:v>
          </c:tx>
          <c:spPr>
            <a:ln w="19050" cap="rnd">
              <a:solidFill>
                <a:srgbClr val="FF0000"/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rgbClr val="FF0000"/>
              </a:solidFill>
              <a:ln w="9525">
                <a:solidFill>
                  <a:srgbClr val="FF0000"/>
                </a:solidFill>
              </a:ln>
              <a:effectLst/>
            </c:spPr>
          </c:marker>
          <c:errBars>
            <c:errDir val="x"/>
            <c:errBarType val="both"/>
            <c:errValType val="stdErr"/>
            <c:noEndCap val="0"/>
            <c:spPr>
              <a:noFill/>
              <a:ln w="9525" cap="flat" cmpd="sng" algn="ctr">
                <a:noFill/>
                <a:round/>
              </a:ln>
              <a:effectLst/>
            </c:spPr>
          </c:errBars>
          <c:errBars>
            <c:errDir val="y"/>
            <c:errBarType val="both"/>
            <c:errValType val="cust"/>
            <c:noEndCap val="0"/>
            <c:plus>
              <c:numRef>
                <c:f>'R10.K.Ds.K'!$O$3:$O$18</c:f>
                <c:numCache>
                  <c:formatCode>General</c:formatCode>
                  <c:ptCount val="16"/>
                  <c:pt idx="0">
                    <c:v>3.6789316434576058E-2</c:v>
                  </c:pt>
                  <c:pt idx="1">
                    <c:v>5.3710746645344365E-2</c:v>
                  </c:pt>
                  <c:pt idx="2">
                    <c:v>6.7136716642067107E-2</c:v>
                  </c:pt>
                  <c:pt idx="3">
                    <c:v>7.2182891139506822E-2</c:v>
                  </c:pt>
                  <c:pt idx="4">
                    <c:v>7.0264413246420077E-2</c:v>
                  </c:pt>
                  <c:pt idx="5">
                    <c:v>6.8544786442861216E-2</c:v>
                  </c:pt>
                  <c:pt idx="6">
                    <c:v>6.2526874314126957E-2</c:v>
                  </c:pt>
                  <c:pt idx="7">
                    <c:v>6.6223327860852166E-2</c:v>
                  </c:pt>
                  <c:pt idx="8">
                    <c:v>5.4673021290704504E-2</c:v>
                  </c:pt>
                  <c:pt idx="9">
                    <c:v>7.2360358267517633E-2</c:v>
                  </c:pt>
                  <c:pt idx="10">
                    <c:v>5.7866348960691205E-2</c:v>
                  </c:pt>
                  <c:pt idx="11">
                    <c:v>6.0185814789949887E-2</c:v>
                  </c:pt>
                  <c:pt idx="12">
                    <c:v>6.0139952929926466E-2</c:v>
                  </c:pt>
                  <c:pt idx="13">
                    <c:v>5.5152407304485784E-2</c:v>
                  </c:pt>
                  <c:pt idx="14">
                    <c:v>5.8113380206659571E-2</c:v>
                  </c:pt>
                  <c:pt idx="15">
                    <c:v>6.9886244271468279E-2</c:v>
                  </c:pt>
                </c:numCache>
              </c:numRef>
            </c:plus>
            <c:minus>
              <c:numRef>
                <c:f>'R10.K.Ds.K'!$N$3:$N$18</c:f>
                <c:numCache>
                  <c:formatCode>General</c:formatCode>
                  <c:ptCount val="16"/>
                  <c:pt idx="0">
                    <c:v>3.6480288141992556E-2</c:v>
                  </c:pt>
                  <c:pt idx="1">
                    <c:v>5.3054593317097165E-2</c:v>
                  </c:pt>
                  <c:pt idx="2">
                    <c:v>6.611464352730323E-2</c:v>
                  </c:pt>
                  <c:pt idx="3">
                    <c:v>7.1002747285757728E-2</c:v>
                  </c:pt>
                  <c:pt idx="4">
                    <c:v>6.9145682680534115E-2</c:v>
                  </c:pt>
                  <c:pt idx="5">
                    <c:v>6.7479730714697261E-2</c:v>
                  </c:pt>
                  <c:pt idx="6">
                    <c:v>6.1639415282765064E-2</c:v>
                  </c:pt>
                  <c:pt idx="7">
                    <c:v>6.5228670490205864E-2</c:v>
                  </c:pt>
                  <c:pt idx="8">
                    <c:v>5.3993294705279027E-2</c:v>
                  </c:pt>
                  <c:pt idx="9">
                    <c:v>7.1174451873302402E-2</c:v>
                  </c:pt>
                  <c:pt idx="10">
                    <c:v>5.710545228504138E-2</c:v>
                  </c:pt>
                  <c:pt idx="11">
                    <c:v>5.9363129977118234E-2</c:v>
                  </c:pt>
                  <c:pt idx="12">
                    <c:v>5.9318512881725738E-2</c:v>
                  </c:pt>
                  <c:pt idx="13">
                    <c:v>5.4460783691812509E-2</c:v>
                  </c:pt>
                  <c:pt idx="14">
                    <c:v>5.7346016114742326E-2</c:v>
                  </c:pt>
                  <c:pt idx="15">
                    <c:v>6.8779428907018492E-2</c:v>
                  </c:pt>
                </c:numCache>
              </c:numRef>
            </c:minus>
            <c:spPr>
              <a:noFill/>
              <a:ln w="9525" cap="flat" cmpd="sng" algn="ctr">
                <a:solidFill>
                  <a:schemeClr val="tx1">
                    <a:lumMod val="65000"/>
                    <a:lumOff val="35000"/>
                  </a:schemeClr>
                </a:solidFill>
                <a:round/>
              </a:ln>
              <a:effectLst/>
            </c:spPr>
          </c:errBars>
          <c:xVal>
            <c:numRef>
              <c:f>'R10.K.Ds.K'!$E$3:$E$18</c:f>
              <c:numCache>
                <c:formatCode>#,##0</c:formatCode>
                <c:ptCount val="16"/>
                <c:pt idx="0">
                  <c:v>5</c:v>
                </c:pt>
                <c:pt idx="1">
                  <c:v>6</c:v>
                </c:pt>
                <c:pt idx="2">
                  <c:v>7</c:v>
                </c:pt>
                <c:pt idx="3">
                  <c:v>8</c:v>
                </c:pt>
                <c:pt idx="4">
                  <c:v>9</c:v>
                </c:pt>
                <c:pt idx="5">
                  <c:v>10</c:v>
                </c:pt>
                <c:pt idx="6">
                  <c:v>11</c:v>
                </c:pt>
                <c:pt idx="7">
                  <c:v>12</c:v>
                </c:pt>
                <c:pt idx="8">
                  <c:v>13</c:v>
                </c:pt>
                <c:pt idx="9">
                  <c:v>14</c:v>
                </c:pt>
                <c:pt idx="10">
                  <c:v>15</c:v>
                </c:pt>
                <c:pt idx="11">
                  <c:v>16</c:v>
                </c:pt>
                <c:pt idx="12">
                  <c:v>17</c:v>
                </c:pt>
                <c:pt idx="13">
                  <c:v>18</c:v>
                </c:pt>
                <c:pt idx="14">
                  <c:v>19</c:v>
                </c:pt>
                <c:pt idx="15">
                  <c:v>20</c:v>
                </c:pt>
              </c:numCache>
            </c:numRef>
          </c:xVal>
          <c:yVal>
            <c:numRef>
              <c:f>'R10.K.Ds.K'!$K$3:$K$18</c:f>
              <c:numCache>
                <c:formatCode>#,##0.0000</c:formatCode>
                <c:ptCount val="16"/>
                <c:pt idx="0">
                  <c:v>3.7877177223101457</c:v>
                </c:pt>
                <c:pt idx="1">
                  <c:v>4.5360130268108865</c:v>
                </c:pt>
                <c:pt idx="2">
                  <c:v>5.1805600071993299</c:v>
                </c:pt>
                <c:pt idx="3">
                  <c:v>5.6227585492236809</c:v>
                </c:pt>
                <c:pt idx="4">
                  <c:v>5.8463707535497473</c:v>
                </c:pt>
                <c:pt idx="5">
                  <c:v>6.0148131771549407</c:v>
                </c:pt>
                <c:pt idx="6">
                  <c:v>6.1636413163812032</c:v>
                </c:pt>
                <c:pt idx="7">
                  <c:v>6.3118645339389614</c:v>
                </c:pt>
                <c:pt idx="8">
                  <c:v>6.4865470736698407</c:v>
                </c:pt>
                <c:pt idx="9">
                  <c:v>6.4842914168776584</c:v>
                </c:pt>
                <c:pt idx="10">
                  <c:v>6.5606649967277431</c:v>
                </c:pt>
                <c:pt idx="11">
                  <c:v>6.570512204073367</c:v>
                </c:pt>
                <c:pt idx="12">
                  <c:v>6.5859845271652642</c:v>
                </c:pt>
                <c:pt idx="13">
                  <c:v>6.5826879239866081</c:v>
                </c:pt>
                <c:pt idx="14">
                  <c:v>6.6450866761190373</c:v>
                </c:pt>
                <c:pt idx="15">
                  <c:v>6.6370707793838912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82A9-4865-87B8-D89C16CDDED0}"/>
            </c:ext>
          </c:extLst>
        </c:ser>
        <c:ser>
          <c:idx val="0"/>
          <c:order val="1"/>
          <c:tx>
            <c:v>Codebook 2</c:v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errBars>
            <c:errDir val="x"/>
            <c:errBarType val="both"/>
            <c:errValType val="stdErr"/>
            <c:noEndCap val="0"/>
            <c:spPr>
              <a:noFill/>
              <a:ln w="9525" cap="flat" cmpd="sng" algn="ctr">
                <a:noFill/>
                <a:round/>
              </a:ln>
              <a:effectLst/>
            </c:spPr>
          </c:errBars>
          <c:errBars>
            <c:errDir val="y"/>
            <c:errBarType val="both"/>
            <c:errValType val="cust"/>
            <c:noEndCap val="0"/>
            <c:plus>
              <c:numRef>
                <c:f>'R10.K.Ds.K'!$O$20:$O$35</c:f>
                <c:numCache>
                  <c:formatCode>General</c:formatCode>
                  <c:ptCount val="16"/>
                  <c:pt idx="0">
                    <c:v>3.278505515467911E-2</c:v>
                  </c:pt>
                  <c:pt idx="1">
                    <c:v>3.9563409813026418E-2</c:v>
                  </c:pt>
                  <c:pt idx="2">
                    <c:v>4.5331229497237224E-2</c:v>
                  </c:pt>
                  <c:pt idx="3">
                    <c:v>4.3720319608792302E-2</c:v>
                  </c:pt>
                  <c:pt idx="4">
                    <c:v>4.5468070318739784E-2</c:v>
                  </c:pt>
                  <c:pt idx="5">
                    <c:v>4.7436552538020926E-2</c:v>
                  </c:pt>
                  <c:pt idx="6">
                    <c:v>4.8353467926366633E-2</c:v>
                  </c:pt>
                  <c:pt idx="7">
                    <c:v>4.2669853933935187E-2</c:v>
                  </c:pt>
                  <c:pt idx="8">
                    <c:v>4.8190775016312415E-2</c:v>
                  </c:pt>
                  <c:pt idx="9">
                    <c:v>5.0444863083980884E-2</c:v>
                  </c:pt>
                  <c:pt idx="10">
                    <c:v>4.969768291391663E-2</c:v>
                  </c:pt>
                  <c:pt idx="11">
                    <c:v>5.0339345704231597E-2</c:v>
                  </c:pt>
                  <c:pt idx="12">
                    <c:v>4.7670590335947338E-2</c:v>
                  </c:pt>
                  <c:pt idx="13">
                    <c:v>4.6949026796474946E-2</c:v>
                  </c:pt>
                  <c:pt idx="14">
                    <c:v>4.8358973662325333E-2</c:v>
                  </c:pt>
                  <c:pt idx="15">
                    <c:v>5.0658365261306848E-2</c:v>
                  </c:pt>
                </c:numCache>
              </c:numRef>
            </c:plus>
            <c:minus>
              <c:numRef>
                <c:f>'R10.K.Ds.K'!$N$20:$N$35</c:f>
                <c:numCache>
                  <c:formatCode>General</c:formatCode>
                  <c:ptCount val="16"/>
                  <c:pt idx="0">
                    <c:v>3.2539412735993256E-2</c:v>
                  </c:pt>
                  <c:pt idx="1">
                    <c:v>3.9206245845568866E-2</c:v>
                  </c:pt>
                  <c:pt idx="2">
                    <c:v>4.4862950241663313E-2</c:v>
                  </c:pt>
                  <c:pt idx="3">
                    <c:v>4.3284571242065972E-2</c:v>
                  </c:pt>
                  <c:pt idx="4">
                    <c:v>4.4996974283646907E-2</c:v>
                  </c:pt>
                  <c:pt idx="5">
                    <c:v>4.6924012005118421E-2</c:v>
                  </c:pt>
                  <c:pt idx="6">
                    <c:v>4.7821032794142404E-2</c:v>
                  </c:pt>
                  <c:pt idx="7">
                    <c:v>4.2254694159660211E-2</c:v>
                  </c:pt>
                  <c:pt idx="8">
                    <c:v>4.7661897222432081E-2</c:v>
                  </c:pt>
                  <c:pt idx="9">
                    <c:v>4.9865649230309117E-2</c:v>
                  </c:pt>
                  <c:pt idx="10">
                    <c:v>4.913540496121982E-2</c:v>
                  </c:pt>
                  <c:pt idx="11">
                    <c:v>4.976253861505775E-2</c:v>
                  </c:pt>
                  <c:pt idx="12">
                    <c:v>4.7153007424424409E-2</c:v>
                  </c:pt>
                  <c:pt idx="13">
                    <c:v>4.6446911664721036E-2</c:v>
                  </c:pt>
                  <c:pt idx="14">
                    <c:v>4.7826417938940935E-2</c:v>
                  </c:pt>
                  <c:pt idx="15">
                    <c:v>5.0074266449071203E-2</c:v>
                  </c:pt>
                </c:numCache>
              </c:numRef>
            </c:minus>
            <c:spPr>
              <a:noFill/>
              <a:ln w="9525" cap="flat" cmpd="sng" algn="ctr">
                <a:solidFill>
                  <a:schemeClr val="tx1">
                    <a:lumMod val="65000"/>
                    <a:lumOff val="35000"/>
                  </a:schemeClr>
                </a:solidFill>
                <a:round/>
              </a:ln>
              <a:effectLst/>
            </c:spPr>
          </c:errBars>
          <c:xVal>
            <c:numRef>
              <c:f>'R10.K.Ds.K'!$E$20:$E$35</c:f>
              <c:numCache>
                <c:formatCode>#,##0</c:formatCode>
                <c:ptCount val="16"/>
                <c:pt idx="0">
                  <c:v>5</c:v>
                </c:pt>
                <c:pt idx="1">
                  <c:v>6</c:v>
                </c:pt>
                <c:pt idx="2">
                  <c:v>7</c:v>
                </c:pt>
                <c:pt idx="3">
                  <c:v>8</c:v>
                </c:pt>
                <c:pt idx="4">
                  <c:v>9</c:v>
                </c:pt>
                <c:pt idx="5">
                  <c:v>10</c:v>
                </c:pt>
                <c:pt idx="6">
                  <c:v>11</c:v>
                </c:pt>
                <c:pt idx="7">
                  <c:v>12</c:v>
                </c:pt>
                <c:pt idx="8">
                  <c:v>13</c:v>
                </c:pt>
                <c:pt idx="9">
                  <c:v>14</c:v>
                </c:pt>
                <c:pt idx="10">
                  <c:v>15</c:v>
                </c:pt>
                <c:pt idx="11">
                  <c:v>16</c:v>
                </c:pt>
                <c:pt idx="12">
                  <c:v>17</c:v>
                </c:pt>
                <c:pt idx="13">
                  <c:v>18</c:v>
                </c:pt>
                <c:pt idx="14">
                  <c:v>19</c:v>
                </c:pt>
                <c:pt idx="15">
                  <c:v>20</c:v>
                </c:pt>
              </c:numCache>
            </c:numRef>
          </c:xVal>
          <c:yVal>
            <c:numRef>
              <c:f>'R10.K.Ds.K'!$K$20:$K$35</c:f>
              <c:numCache>
                <c:formatCode>#,##0.0000</c:formatCode>
                <c:ptCount val="16"/>
                <c:pt idx="0">
                  <c:v>3.7425895482422304</c:v>
                </c:pt>
                <c:pt idx="1">
                  <c:v>4.3738995862097143</c:v>
                </c:pt>
                <c:pt idx="2">
                  <c:v>4.8043449911949097</c:v>
                </c:pt>
                <c:pt idx="3">
                  <c:v>5.0637932234801397</c:v>
                </c:pt>
                <c:pt idx="4">
                  <c:v>5.2605100155085074</c:v>
                </c:pt>
                <c:pt idx="5">
                  <c:v>5.3755208606376081</c:v>
                </c:pt>
                <c:pt idx="6">
                  <c:v>5.4762569556425618</c:v>
                </c:pt>
                <c:pt idx="7">
                  <c:v>5.578077652865967</c:v>
                </c:pt>
                <c:pt idx="8">
                  <c:v>5.6938751772200691</c:v>
                </c:pt>
                <c:pt idx="9">
                  <c:v>5.7435711079557636</c:v>
                </c:pt>
                <c:pt idx="10">
                  <c:v>5.8555592281443207</c:v>
                </c:pt>
                <c:pt idx="11">
                  <c:v>5.9277910707260348</c:v>
                </c:pt>
                <c:pt idx="12">
                  <c:v>5.9176003468815042</c:v>
                </c:pt>
                <c:pt idx="13">
                  <c:v>5.9363016453073243</c:v>
                </c:pt>
                <c:pt idx="14">
                  <c:v>5.9871436713866677</c:v>
                </c:pt>
                <c:pt idx="15">
                  <c:v>5.9768128872444546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82A9-4865-87B8-D89C16CDDED0}"/>
            </c:ext>
          </c:extLst>
        </c:ser>
        <c:ser>
          <c:idx val="2"/>
          <c:order val="2"/>
          <c:tx>
            <c:v>Codebook 3</c:v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errBars>
            <c:errDir val="x"/>
            <c:errBarType val="both"/>
            <c:errValType val="stdErr"/>
            <c:noEndCap val="0"/>
            <c:spPr>
              <a:noFill/>
              <a:ln w="9525" cap="flat" cmpd="sng" algn="ctr">
                <a:noFill/>
                <a:round/>
              </a:ln>
              <a:effectLst/>
            </c:spPr>
          </c:errBars>
          <c:errBars>
            <c:errDir val="y"/>
            <c:errBarType val="both"/>
            <c:errValType val="cust"/>
            <c:noEndCap val="0"/>
            <c:plus>
              <c:numRef>
                <c:f>'R10.K.Ds.K'!$O$37:$O$52</c:f>
                <c:numCache>
                  <c:formatCode>General</c:formatCode>
                  <c:ptCount val="16"/>
                  <c:pt idx="0">
                    <c:v>3.4570612425201208E-2</c:v>
                  </c:pt>
                  <c:pt idx="1">
                    <c:v>4.0429765433926512E-2</c:v>
                  </c:pt>
                  <c:pt idx="2">
                    <c:v>4.6608303987189181E-2</c:v>
                  </c:pt>
                  <c:pt idx="3">
                    <c:v>4.7933551584813827E-2</c:v>
                  </c:pt>
                  <c:pt idx="4">
                    <c:v>5.1014462624191736E-2</c:v>
                  </c:pt>
                  <c:pt idx="5">
                    <c:v>5.1468120479858825E-2</c:v>
                  </c:pt>
                  <c:pt idx="6">
                    <c:v>4.543482632353868E-2</c:v>
                  </c:pt>
                  <c:pt idx="7">
                    <c:v>4.2955683745685924E-2</c:v>
                  </c:pt>
                  <c:pt idx="8">
                    <c:v>4.3275416835031777E-2</c:v>
                  </c:pt>
                  <c:pt idx="9">
                    <c:v>4.7387074588828071E-2</c:v>
                  </c:pt>
                  <c:pt idx="10">
                    <c:v>4.6248116307014975E-2</c:v>
                  </c:pt>
                  <c:pt idx="11">
                    <c:v>4.2763442303242805E-2</c:v>
                  </c:pt>
                  <c:pt idx="12">
                    <c:v>4.4548199870774852E-2</c:v>
                  </c:pt>
                  <c:pt idx="13">
                    <c:v>4.5958103239319037E-2</c:v>
                  </c:pt>
                  <c:pt idx="14">
                    <c:v>4.3862840939664416E-2</c:v>
                  </c:pt>
                  <c:pt idx="15">
                    <c:v>4.4804362486781102E-2</c:v>
                  </c:pt>
                </c:numCache>
              </c:numRef>
            </c:plus>
            <c:minus>
              <c:numRef>
                <c:f>'R10.K.Ds.K'!$N$37:$N$52</c:f>
                <c:numCache>
                  <c:formatCode>General</c:formatCode>
                  <c:ptCount val="16"/>
                  <c:pt idx="0">
                    <c:v>3.4297596036428235E-2</c:v>
                  </c:pt>
                  <c:pt idx="1">
                    <c:v>4.0056861524044862E-2</c:v>
                  </c:pt>
                  <c:pt idx="2">
                    <c:v>4.61134120587392E-2</c:v>
                  </c:pt>
                  <c:pt idx="3">
                    <c:v>4.7410274009914488E-2</c:v>
                  </c:pt>
                  <c:pt idx="4">
                    <c:v>5.0422171147738837E-2</c:v>
                  </c:pt>
                  <c:pt idx="5">
                    <c:v>5.0865310106019024E-2</c:v>
                  </c:pt>
                  <c:pt idx="6">
                    <c:v>4.496441536319562E-2</c:v>
                  </c:pt>
                  <c:pt idx="7">
                    <c:v>4.2534970709752429E-2</c:v>
                  </c:pt>
                  <c:pt idx="8">
                    <c:v>4.2848448558666874E-2</c:v>
                  </c:pt>
                  <c:pt idx="9">
                    <c:v>4.6875596939090158E-2</c:v>
                  </c:pt>
                  <c:pt idx="10">
                    <c:v>4.5760803928041049E-2</c:v>
                  </c:pt>
                  <c:pt idx="11">
                    <c:v>4.2346468264520709E-2</c:v>
                  </c:pt>
                  <c:pt idx="12">
                    <c:v>4.409587797475556E-2</c:v>
                  </c:pt>
                  <c:pt idx="13">
                    <c:v>4.54768516393802E-2</c:v>
                  </c:pt>
                  <c:pt idx="14">
                    <c:v>4.3424261226681082E-2</c:v>
                  </c:pt>
                  <c:pt idx="15">
                    <c:v>4.4346850387144698E-2</c:v>
                  </c:pt>
                </c:numCache>
              </c:numRef>
            </c:minus>
            <c:spPr>
              <a:noFill/>
              <a:ln w="9525" cap="flat" cmpd="sng" algn="ctr">
                <a:solidFill>
                  <a:schemeClr val="tx1">
                    <a:lumMod val="65000"/>
                    <a:lumOff val="35000"/>
                  </a:schemeClr>
                </a:solidFill>
                <a:round/>
              </a:ln>
              <a:effectLst/>
            </c:spPr>
          </c:errBars>
          <c:xVal>
            <c:numRef>
              <c:f>'R10.K.Ds.K'!$E$37:$E$52</c:f>
              <c:numCache>
                <c:formatCode>#,##0</c:formatCode>
                <c:ptCount val="16"/>
                <c:pt idx="0">
                  <c:v>5</c:v>
                </c:pt>
                <c:pt idx="1">
                  <c:v>6</c:v>
                </c:pt>
                <c:pt idx="2">
                  <c:v>7</c:v>
                </c:pt>
                <c:pt idx="3">
                  <c:v>8</c:v>
                </c:pt>
                <c:pt idx="4">
                  <c:v>9</c:v>
                </c:pt>
                <c:pt idx="5">
                  <c:v>10</c:v>
                </c:pt>
                <c:pt idx="6">
                  <c:v>11</c:v>
                </c:pt>
                <c:pt idx="7">
                  <c:v>12</c:v>
                </c:pt>
                <c:pt idx="8">
                  <c:v>13</c:v>
                </c:pt>
                <c:pt idx="9">
                  <c:v>14</c:v>
                </c:pt>
                <c:pt idx="10">
                  <c:v>15</c:v>
                </c:pt>
                <c:pt idx="11">
                  <c:v>16</c:v>
                </c:pt>
                <c:pt idx="12">
                  <c:v>17</c:v>
                </c:pt>
                <c:pt idx="13">
                  <c:v>18</c:v>
                </c:pt>
                <c:pt idx="14">
                  <c:v>19</c:v>
                </c:pt>
                <c:pt idx="15">
                  <c:v>20</c:v>
                </c:pt>
              </c:numCache>
            </c:numRef>
          </c:xVal>
          <c:yVal>
            <c:numRef>
              <c:f>'R10.K.Ds.K'!$K$37:$K$52</c:f>
              <c:numCache>
                <c:formatCode>#,##0.0000</c:formatCode>
                <c:ptCount val="16"/>
                <c:pt idx="0">
                  <c:v>3.4686791857638237</c:v>
                </c:pt>
                <c:pt idx="1">
                  <c:v>4.1298161516926104</c:v>
                </c:pt>
                <c:pt idx="2">
                  <c:v>4.4587441848698735</c:v>
                </c:pt>
                <c:pt idx="3">
                  <c:v>4.6849979453432438</c:v>
                </c:pt>
                <c:pt idx="4">
                  <c:v>4.8804982962450074</c:v>
                </c:pt>
                <c:pt idx="5">
                  <c:v>4.9903208166351973</c:v>
                </c:pt>
                <c:pt idx="6">
                  <c:v>5.1489402336957744</c:v>
                </c:pt>
                <c:pt idx="7">
                  <c:v>5.1970553999699343</c:v>
                </c:pt>
                <c:pt idx="8">
                  <c:v>5.2148160169641056</c:v>
                </c:pt>
                <c:pt idx="9">
                  <c:v>5.2314422859188845</c:v>
                </c:pt>
                <c:pt idx="10">
                  <c:v>5.2546808845144586</c:v>
                </c:pt>
                <c:pt idx="11">
                  <c:v>5.3330534135120757</c:v>
                </c:pt>
                <c:pt idx="12">
                  <c:v>5.3662967270759312</c:v>
                </c:pt>
                <c:pt idx="13">
                  <c:v>5.3922740439122823</c:v>
                </c:pt>
                <c:pt idx="14">
                  <c:v>5.3960336270231588</c:v>
                </c:pt>
                <c:pt idx="15">
                  <c:v>5.4561253285304492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82A9-4865-87B8-D89C16CDDED0}"/>
            </c:ext>
          </c:extLst>
        </c:ser>
        <c:ser>
          <c:idx val="3"/>
          <c:order val="3"/>
          <c:tx>
            <c:v>Codebook 4</c:v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errBars>
            <c:errDir val="x"/>
            <c:errBarType val="both"/>
            <c:errValType val="stdErr"/>
            <c:noEndCap val="0"/>
            <c:spPr>
              <a:noFill/>
              <a:ln w="9525" cap="flat" cmpd="sng" algn="ctr">
                <a:noFill/>
                <a:round/>
              </a:ln>
              <a:effectLst/>
            </c:spPr>
          </c:errBars>
          <c:errBars>
            <c:errDir val="y"/>
            <c:errBarType val="both"/>
            <c:errValType val="cust"/>
            <c:noEndCap val="0"/>
            <c:plus>
              <c:numRef>
                <c:f>'R10.K.Ds.K'!$O$54:$O$69</c:f>
                <c:numCache>
                  <c:formatCode>General</c:formatCode>
                  <c:ptCount val="16"/>
                  <c:pt idx="0">
                    <c:v>5.6806356979592909E-2</c:v>
                  </c:pt>
                  <c:pt idx="1">
                    <c:v>5.0820015664233331E-2</c:v>
                  </c:pt>
                  <c:pt idx="2">
                    <c:v>4.4784994929096378E-2</c:v>
                  </c:pt>
                  <c:pt idx="3">
                    <c:v>4.6464987197010643E-2</c:v>
                  </c:pt>
                  <c:pt idx="4">
                    <c:v>4.6511657897410075E-2</c:v>
                  </c:pt>
                  <c:pt idx="5">
                    <c:v>4.7671563424926511E-2</c:v>
                  </c:pt>
                  <c:pt idx="6">
                    <c:v>4.9025402231526627E-2</c:v>
                  </c:pt>
                  <c:pt idx="7">
                    <c:v>4.8554501429316943E-2</c:v>
                  </c:pt>
                  <c:pt idx="8">
                    <c:v>4.8897023454970601E-2</c:v>
                  </c:pt>
                  <c:pt idx="9">
                    <c:v>4.7149269361303148E-2</c:v>
                  </c:pt>
                  <c:pt idx="10">
                    <c:v>4.2778475119953363E-2</c:v>
                  </c:pt>
                  <c:pt idx="11">
                    <c:v>4.9088688957428239E-2</c:v>
                  </c:pt>
                  <c:pt idx="12">
                    <c:v>4.6452137768155488E-2</c:v>
                  </c:pt>
                  <c:pt idx="13">
                    <c:v>4.7797768363107451E-2</c:v>
                  </c:pt>
                  <c:pt idx="14">
                    <c:v>4.5523921762301356E-2</c:v>
                  </c:pt>
                  <c:pt idx="15">
                    <c:v>4.8352114708629657E-2</c:v>
                  </c:pt>
                </c:numCache>
              </c:numRef>
            </c:plus>
            <c:minus>
              <c:numRef>
                <c:f>'R10.K.Ds.K'!$N$54:$N$69</c:f>
                <c:numCache>
                  <c:formatCode>General</c:formatCode>
                  <c:ptCount val="16"/>
                  <c:pt idx="0">
                    <c:v>5.6072904815474889E-2</c:v>
                  </c:pt>
                  <c:pt idx="1">
                    <c:v>5.0232204781714529E-2</c:v>
                  </c:pt>
                  <c:pt idx="2">
                    <c:v>4.4327876266664568E-2</c:v>
                  </c:pt>
                  <c:pt idx="3">
                    <c:v>4.5973118063917795E-2</c:v>
                  </c:pt>
                  <c:pt idx="4">
                    <c:v>4.6018805405672047E-2</c:v>
                  </c:pt>
                  <c:pt idx="5">
                    <c:v>4.7153959497091336E-2</c:v>
                  </c:pt>
                  <c:pt idx="6">
                    <c:v>4.847815011014589E-2</c:v>
                  </c:pt>
                  <c:pt idx="7">
                    <c:v>4.8017654340503313E-2</c:v>
                  </c:pt>
                  <c:pt idx="8">
                    <c:v>4.8352617785044849E-2</c:v>
                  </c:pt>
                  <c:pt idx="9">
                    <c:v>4.6642885004847479E-2</c:v>
                  </c:pt>
                  <c:pt idx="10">
                    <c:v>4.2361209296304381E-2</c:v>
                  </c:pt>
                  <c:pt idx="11">
                    <c:v>4.8540030923689415E-2</c:v>
                  </c:pt>
                  <c:pt idx="12">
                    <c:v>4.5960539203875328E-2</c:v>
                  </c:pt>
                  <c:pt idx="13">
                    <c:v>4.727743514455085E-2</c:v>
                  </c:pt>
                  <c:pt idx="14">
                    <c:v>4.5051673659464164E-2</c:v>
                  </c:pt>
                  <c:pt idx="15">
                    <c:v>4.7819709213627881E-2</c:v>
                  </c:pt>
                </c:numCache>
              </c:numRef>
            </c:minus>
            <c:spPr>
              <a:noFill/>
              <a:ln w="9525" cap="flat" cmpd="sng" algn="ctr">
                <a:solidFill>
                  <a:schemeClr val="tx1">
                    <a:lumMod val="65000"/>
                    <a:lumOff val="35000"/>
                  </a:schemeClr>
                </a:solidFill>
                <a:round/>
              </a:ln>
              <a:effectLst/>
            </c:spPr>
          </c:errBars>
          <c:xVal>
            <c:numRef>
              <c:f>'R10.K.Ds.K'!$E$54:$E$69</c:f>
              <c:numCache>
                <c:formatCode>#,##0</c:formatCode>
                <c:ptCount val="16"/>
                <c:pt idx="0">
                  <c:v>5</c:v>
                </c:pt>
                <c:pt idx="1">
                  <c:v>6</c:v>
                </c:pt>
                <c:pt idx="2">
                  <c:v>7</c:v>
                </c:pt>
                <c:pt idx="3">
                  <c:v>8</c:v>
                </c:pt>
                <c:pt idx="4">
                  <c:v>9</c:v>
                </c:pt>
                <c:pt idx="5">
                  <c:v>10</c:v>
                </c:pt>
                <c:pt idx="6">
                  <c:v>11</c:v>
                </c:pt>
                <c:pt idx="7">
                  <c:v>12</c:v>
                </c:pt>
                <c:pt idx="8">
                  <c:v>13</c:v>
                </c:pt>
                <c:pt idx="9">
                  <c:v>14</c:v>
                </c:pt>
                <c:pt idx="10">
                  <c:v>15</c:v>
                </c:pt>
                <c:pt idx="11">
                  <c:v>16</c:v>
                </c:pt>
                <c:pt idx="12">
                  <c:v>17</c:v>
                </c:pt>
                <c:pt idx="13">
                  <c:v>18</c:v>
                </c:pt>
                <c:pt idx="14">
                  <c:v>19</c:v>
                </c:pt>
                <c:pt idx="15">
                  <c:v>20</c:v>
                </c:pt>
              </c:numCache>
            </c:numRef>
          </c:xVal>
          <c:yVal>
            <c:numRef>
              <c:f>'R10.K.Ds.K'!$K$54:$K$69</c:f>
              <c:numCache>
                <c:formatCode>#,##0.0000</c:formatCode>
                <c:ptCount val="16"/>
                <c:pt idx="0">
                  <c:v>3.6212684635710946</c:v>
                </c:pt>
                <c:pt idx="1">
                  <c:v>4.8472239623204141</c:v>
                </c:pt>
                <c:pt idx="2">
                  <c:v>5.3558497757383119</c:v>
                </c:pt>
                <c:pt idx="3">
                  <c:v>5.5173180173504104</c:v>
                </c:pt>
                <c:pt idx="4">
                  <c:v>5.5958948873701777</c:v>
                </c:pt>
                <c:pt idx="5">
                  <c:v>5.6304266933055045</c:v>
                </c:pt>
                <c:pt idx="6">
                  <c:v>5.6527145822024227</c:v>
                </c:pt>
                <c:pt idx="7">
                  <c:v>5.6180058124444745</c:v>
                </c:pt>
                <c:pt idx="8">
                  <c:v>5.5517480049025236</c:v>
                </c:pt>
                <c:pt idx="9">
                  <c:v>5.5449958319646342</c:v>
                </c:pt>
                <c:pt idx="10">
                  <c:v>5.5395498072340388</c:v>
                </c:pt>
                <c:pt idx="11">
                  <c:v>5.5595520408192369</c:v>
                </c:pt>
                <c:pt idx="12">
                  <c:v>5.5232525892175035</c:v>
                </c:pt>
                <c:pt idx="13">
                  <c:v>5.5455148573395014</c:v>
                </c:pt>
                <c:pt idx="14">
                  <c:v>5.5395498072340388</c:v>
                </c:pt>
                <c:pt idx="15">
                  <c:v>5.5147402959908831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82A9-4865-87B8-D89C16CDDED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78679920"/>
        <c:axId val="802641424"/>
      </c:scatterChart>
      <c:valAx>
        <c:axId val="578679920"/>
        <c:scaling>
          <c:orientation val="minMax"/>
          <c:max val="21"/>
          <c:min val="4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AU"/>
                  <a:t>Mean dwell time, </a:t>
                </a:r>
                <a:r>
                  <a:rPr lang="en-AU" i="1"/>
                  <a:t>K</a:t>
                </a:r>
                <a:endParaRPr lang="en-AU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#,##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02641424"/>
        <c:crosses val="autoZero"/>
        <c:crossBetween val="midCat"/>
        <c:majorUnit val="2"/>
        <c:minorUnit val="1"/>
      </c:valAx>
      <c:valAx>
        <c:axId val="802641424"/>
        <c:scaling>
          <c:orientation val="minMax"/>
          <c:max val="7"/>
          <c:min val="3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AU"/>
                  <a:t>Q</a:t>
                </a:r>
                <a:r>
                  <a:rPr lang="en-AU" baseline="0"/>
                  <a:t>uality score, </a:t>
                </a:r>
                <a:r>
                  <a:rPr lang="en-AU" i="1" baseline="0"/>
                  <a:t>Q</a:t>
                </a:r>
                <a:endParaRPr lang="en-AU" i="1"/>
              </a:p>
            </c:rich>
          </c:tx>
          <c:layout>
            <c:manualLayout>
              <c:xMode val="edge"/>
              <c:yMode val="edge"/>
              <c:x val="1.2630035540302917E-2"/>
              <c:y val="0.3506217297161231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#,##0.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78679920"/>
        <c:crosses val="autoZero"/>
        <c:crossBetween val="midCat"/>
        <c:majorUnit val="1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7715254705504232"/>
          <c:y val="0.34878351652668288"/>
          <c:w val="0.21228217619277828"/>
          <c:h val="0.3436151953612574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6350" cap="flat" cmpd="sng" algn="ctr">
      <a:solidFill>
        <a:schemeClr val="tx1"/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AU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Quality score vs. </a:t>
            </a:r>
            <a:r>
              <a:rPr lang="en-AU" sz="1400" b="0" i="1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cs typeface="Times New Roman" panose="02020603050405020304" pitchFamily="18" charset="0"/>
              </a:rPr>
              <a:t>σ</a:t>
            </a:r>
            <a:r>
              <a:rPr lang="en-AU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cs typeface="Times New Roman" panose="02020603050405020304" pitchFamily="18" charset="0"/>
              </a:rPr>
              <a:t> : Dorado R10 'sup'</a:t>
            </a:r>
            <a:endParaRPr lang="en-AU" sz="1400" b="0" i="0" u="none" strike="noStrike" kern="1200" spc="0" baseline="0">
              <a:solidFill>
                <a:sysClr val="windowText" lastClr="000000">
                  <a:lumMod val="65000"/>
                  <a:lumOff val="35000"/>
                </a:sysClr>
              </a:solidFill>
            </a:endParaRPr>
          </a:p>
        </c:rich>
      </c:tx>
      <c:layout>
        <c:manualLayout>
          <c:xMode val="edge"/>
          <c:yMode val="edge"/>
          <c:x val="0.2371309731511505"/>
          <c:y val="3.2615699591851961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1368158226066076"/>
          <c:y val="0.15826550596557501"/>
          <c:w val="0.66061018822016926"/>
          <c:h val="0.65642128030386226"/>
        </c:manualLayout>
      </c:layout>
      <c:scatterChart>
        <c:scatterStyle val="lineMarker"/>
        <c:varyColors val="0"/>
        <c:ser>
          <c:idx val="1"/>
          <c:order val="0"/>
          <c:tx>
            <c:v>Codebook 1</c:v>
          </c:tx>
          <c:spPr>
            <a:ln w="19050" cap="rnd">
              <a:solidFill>
                <a:srgbClr val="FF0000"/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rgbClr val="FF0000"/>
              </a:solidFill>
              <a:ln w="9525">
                <a:solidFill>
                  <a:srgbClr val="FF0000"/>
                </a:solidFill>
              </a:ln>
              <a:effectLst/>
            </c:spPr>
          </c:marker>
          <c:errBars>
            <c:errDir val="x"/>
            <c:errBarType val="both"/>
            <c:errValType val="stdErr"/>
            <c:noEndCap val="0"/>
            <c:spPr>
              <a:noFill/>
              <a:ln w="9525" cap="flat" cmpd="sng" algn="ctr">
                <a:noFill/>
                <a:round/>
              </a:ln>
              <a:effectLst/>
            </c:spPr>
          </c:errBars>
          <c:errBars>
            <c:errDir val="y"/>
            <c:errBarType val="both"/>
            <c:errValType val="cust"/>
            <c:noEndCap val="0"/>
            <c:plus>
              <c:numRef>
                <c:f>'R10.S.S.sd'!$O$3:$O$23</c:f>
                <c:numCache>
                  <c:formatCode>General</c:formatCode>
                  <c:ptCount val="21"/>
                  <c:pt idx="0">
                    <c:v>0.28065442314518885</c:v>
                  </c:pt>
                  <c:pt idx="1">
                    <c:v>0.29403072137613817</c:v>
                  </c:pt>
                  <c:pt idx="2">
                    <c:v>0.2843599954705649</c:v>
                  </c:pt>
                  <c:pt idx="3">
                    <c:v>0.29624362863378373</c:v>
                  </c:pt>
                  <c:pt idx="4">
                    <c:v>0.28925036233863599</c:v>
                  </c:pt>
                  <c:pt idx="5">
                    <c:v>0.28163273153472401</c:v>
                  </c:pt>
                  <c:pt idx="6">
                    <c:v>0.2526035764768344</c:v>
                  </c:pt>
                  <c:pt idx="7">
                    <c:v>0.2519937780172774</c:v>
                  </c:pt>
                  <c:pt idx="8">
                    <c:v>0.20803252210400847</c:v>
                  </c:pt>
                  <c:pt idx="9">
                    <c:v>0.1607760476235387</c:v>
                  </c:pt>
                  <c:pt idx="10">
                    <c:v>0.13593563977296275</c:v>
                  </c:pt>
                  <c:pt idx="11">
                    <c:v>0.11147770216036856</c:v>
                  </c:pt>
                  <c:pt idx="12">
                    <c:v>7.650140425260743E-2</c:v>
                  </c:pt>
                  <c:pt idx="13">
                    <c:v>4.7650646079958947E-2</c:v>
                  </c:pt>
                  <c:pt idx="14">
                    <c:v>4.3339578322895145E-2</c:v>
                  </c:pt>
                  <c:pt idx="15">
                    <c:v>2.8413762600805498E-2</c:v>
                  </c:pt>
                  <c:pt idx="16">
                    <c:v>2.6128371543331086E-2</c:v>
                  </c:pt>
                  <c:pt idx="17">
                    <c:v>1.9224177507448981E-2</c:v>
                  </c:pt>
                  <c:pt idx="18">
                    <c:v>1.8701303146423875E-2</c:v>
                  </c:pt>
                  <c:pt idx="19">
                    <c:v>8.7159477102010663E-3</c:v>
                  </c:pt>
                  <c:pt idx="20">
                    <c:v>9.7904421300110539E-3</c:v>
                  </c:pt>
                </c:numCache>
              </c:numRef>
            </c:plus>
            <c:minus>
              <c:numRef>
                <c:f>'R10.S.S.sd'!$N$3:$N$23</c:f>
                <c:numCache>
                  <c:formatCode>General</c:formatCode>
                  <c:ptCount val="21"/>
                  <c:pt idx="0">
                    <c:v>0.26361335009961895</c:v>
                  </c:pt>
                  <c:pt idx="1">
                    <c:v>0.27537997903784861</c:v>
                  </c:pt>
                  <c:pt idx="2">
                    <c:v>0.26687982945157573</c:v>
                  </c:pt>
                  <c:pt idx="3">
                    <c:v>0.27732003606479649</c:v>
                  </c:pt>
                  <c:pt idx="4">
                    <c:v>0.27118269525392025</c:v>
                  </c:pt>
                  <c:pt idx="5">
                    <c:v>0.26447624308922224</c:v>
                  </c:pt>
                  <c:pt idx="6">
                    <c:v>0.23871521574525367</c:v>
                  </c:pt>
                  <c:pt idx="7">
                    <c:v>0.23817057244474715</c:v>
                  </c:pt>
                  <c:pt idx="8">
                    <c:v>0.19852136366077811</c:v>
                  </c:pt>
                  <c:pt idx="9">
                    <c:v>0.15503597547578218</c:v>
                  </c:pt>
                  <c:pt idx="10">
                    <c:v>0.13180962729826851</c:v>
                  </c:pt>
                  <c:pt idx="11">
                    <c:v>0.10868768243313409</c:v>
                  </c:pt>
                  <c:pt idx="12">
                    <c:v>7.5177118200589699E-2</c:v>
                  </c:pt>
                  <c:pt idx="13">
                    <c:v>4.713349382197235E-2</c:v>
                  </c:pt>
                  <c:pt idx="14">
                    <c:v>4.2911349288814904E-2</c:v>
                  </c:pt>
                  <c:pt idx="15">
                    <c:v>2.8229072936810484E-2</c:v>
                  </c:pt>
                  <c:pt idx="16">
                    <c:v>2.5972115558507536E-2</c:v>
                  </c:pt>
                  <c:pt idx="17">
                    <c:v>1.9139455984904991E-2</c:v>
                  </c:pt>
                  <c:pt idx="18">
                    <c:v>1.8621117990319708E-2</c:v>
                  </c:pt>
                  <c:pt idx="19">
                    <c:v>8.6984905199568863E-3</c:v>
                  </c:pt>
                  <c:pt idx="20">
                    <c:v>9.7684208510310094E-3</c:v>
                  </c:pt>
                </c:numCache>
              </c:numRef>
            </c:minus>
            <c:spPr>
              <a:noFill/>
              <a:ln w="9525" cap="flat" cmpd="sng" algn="ctr">
                <a:solidFill>
                  <a:schemeClr val="tx1">
                    <a:lumMod val="65000"/>
                    <a:lumOff val="35000"/>
                  </a:schemeClr>
                </a:solidFill>
                <a:round/>
              </a:ln>
              <a:effectLst/>
            </c:spPr>
          </c:errBars>
          <c:xVal>
            <c:numRef>
              <c:f>'R10.S.S.sd'!$D$3:$D$23</c:f>
              <c:numCache>
                <c:formatCode>#,##0.00</c:formatCode>
                <c:ptCount val="21"/>
                <c:pt idx="0">
                  <c:v>0</c:v>
                </c:pt>
                <c:pt idx="1">
                  <c:v>0.01</c:v>
                </c:pt>
                <c:pt idx="2">
                  <c:v>0.02</c:v>
                </c:pt>
                <c:pt idx="3">
                  <c:v>0.03</c:v>
                </c:pt>
                <c:pt idx="4">
                  <c:v>0.04</c:v>
                </c:pt>
                <c:pt idx="5">
                  <c:v>0.05</c:v>
                </c:pt>
                <c:pt idx="6">
                  <c:v>0.06</c:v>
                </c:pt>
                <c:pt idx="7">
                  <c:v>7.0000000000000007E-2</c:v>
                </c:pt>
                <c:pt idx="8">
                  <c:v>0.08</c:v>
                </c:pt>
                <c:pt idx="9">
                  <c:v>0.09</c:v>
                </c:pt>
                <c:pt idx="10">
                  <c:v>0.1</c:v>
                </c:pt>
                <c:pt idx="11">
                  <c:v>0.11</c:v>
                </c:pt>
                <c:pt idx="12">
                  <c:v>0.12</c:v>
                </c:pt>
                <c:pt idx="13">
                  <c:v>0.13</c:v>
                </c:pt>
                <c:pt idx="14">
                  <c:v>0.14000000000000001</c:v>
                </c:pt>
                <c:pt idx="15">
                  <c:v>0.15</c:v>
                </c:pt>
                <c:pt idx="16">
                  <c:v>0.16</c:v>
                </c:pt>
                <c:pt idx="17">
                  <c:v>0.17</c:v>
                </c:pt>
                <c:pt idx="18">
                  <c:v>0.18</c:v>
                </c:pt>
                <c:pt idx="19">
                  <c:v>0.19</c:v>
                </c:pt>
                <c:pt idx="20">
                  <c:v>0.2</c:v>
                </c:pt>
              </c:numCache>
            </c:numRef>
          </c:xVal>
          <c:yVal>
            <c:numRef>
              <c:f>'R10.S.S.sd'!$K$3:$K$23</c:f>
              <c:numCache>
                <c:formatCode>#,##0.0000</c:formatCode>
                <c:ptCount val="21"/>
                <c:pt idx="0">
                  <c:v>2.2000690921264741</c:v>
                </c:pt>
                <c:pt idx="1">
                  <c:v>2.5321016784738775</c:v>
                </c:pt>
                <c:pt idx="2">
                  <c:v>2.1783803852969901</c:v>
                </c:pt>
                <c:pt idx="3">
                  <c:v>2.5608539607462828</c:v>
                </c:pt>
                <c:pt idx="4">
                  <c:v>2.3264621003065078</c:v>
                </c:pt>
                <c:pt idx="5">
                  <c:v>2.0251317389226764</c:v>
                </c:pt>
                <c:pt idx="6">
                  <c:v>1.8973386918171866</c:v>
                </c:pt>
                <c:pt idx="7">
                  <c:v>1.9446516081721699</c:v>
                </c:pt>
                <c:pt idx="8">
                  <c:v>1.5255073750082713</c:v>
                </c:pt>
                <c:pt idx="9">
                  <c:v>1.1414896702759467</c:v>
                </c:pt>
                <c:pt idx="10">
                  <c:v>0.86654237334711826</c:v>
                </c:pt>
                <c:pt idx="11">
                  <c:v>0.75023300934802029</c:v>
                </c:pt>
                <c:pt idx="12">
                  <c:v>0.52182477836963337</c:v>
                </c:pt>
                <c:pt idx="13">
                  <c:v>0.32998355306743266</c:v>
                </c:pt>
                <c:pt idx="14">
                  <c:v>0.33506279278519768</c:v>
                </c:pt>
                <c:pt idx="15">
                  <c:v>0.23298569678925088</c:v>
                </c:pt>
                <c:pt idx="16">
                  <c:v>0.20383345367786343</c:v>
                </c:pt>
                <c:pt idx="17">
                  <c:v>0.18392779780165011</c:v>
                </c:pt>
                <c:pt idx="18">
                  <c:v>0.16614302581447077</c:v>
                </c:pt>
                <c:pt idx="19">
                  <c:v>0.12743499593632587</c:v>
                </c:pt>
                <c:pt idx="20">
                  <c:v>0.11701222116142211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4CF3-4AC1-9EA0-DBF1A47D3EB8}"/>
            </c:ext>
          </c:extLst>
        </c:ser>
        <c:ser>
          <c:idx val="0"/>
          <c:order val="1"/>
          <c:tx>
            <c:v>Codebook 2</c:v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errBars>
            <c:errDir val="x"/>
            <c:errBarType val="both"/>
            <c:errValType val="stdErr"/>
            <c:noEndCap val="0"/>
            <c:spPr>
              <a:noFill/>
              <a:ln w="9525" cap="flat" cmpd="sng" algn="ctr">
                <a:noFill/>
                <a:round/>
              </a:ln>
              <a:effectLst/>
            </c:spPr>
          </c:errBars>
          <c:errBars>
            <c:errDir val="y"/>
            <c:errBarType val="both"/>
            <c:errValType val="cust"/>
            <c:noEndCap val="0"/>
            <c:plus>
              <c:numRef>
                <c:f>'R10.S.S.sd'!$O$25:$O$45</c:f>
                <c:numCache>
                  <c:formatCode>General</c:formatCode>
                  <c:ptCount val="21"/>
                  <c:pt idx="0">
                    <c:v>2.4686560495578158E-2</c:v>
                  </c:pt>
                  <c:pt idx="1">
                    <c:v>2.3975416980590358E-2</c:v>
                  </c:pt>
                  <c:pt idx="2">
                    <c:v>2.6210692025389282E-2</c:v>
                  </c:pt>
                  <c:pt idx="3">
                    <c:v>2.5950205500750778E-2</c:v>
                  </c:pt>
                  <c:pt idx="4">
                    <c:v>2.9741149585686744E-2</c:v>
                  </c:pt>
                  <c:pt idx="5">
                    <c:v>4.2876666319103141E-2</c:v>
                  </c:pt>
                  <c:pt idx="6">
                    <c:v>7.1412575899576058E-2</c:v>
                  </c:pt>
                  <c:pt idx="7">
                    <c:v>9.1279504338577233E-2</c:v>
                  </c:pt>
                  <c:pt idx="8">
                    <c:v>7.7298578646747274E-2</c:v>
                  </c:pt>
                  <c:pt idx="9">
                    <c:v>6.1460695965105394E-2</c:v>
                  </c:pt>
                  <c:pt idx="10">
                    <c:v>4.46586368485411E-2</c:v>
                  </c:pt>
                  <c:pt idx="11">
                    <c:v>4.41389588356218E-2</c:v>
                  </c:pt>
                  <c:pt idx="12">
                    <c:v>3.7196820026863087E-2</c:v>
                  </c:pt>
                  <c:pt idx="13">
                    <c:v>3.7845662203509711E-2</c:v>
                  </c:pt>
                  <c:pt idx="14">
                    <c:v>3.5128685171774698E-2</c:v>
                  </c:pt>
                  <c:pt idx="15">
                    <c:v>3.0787254272017783E-2</c:v>
                  </c:pt>
                  <c:pt idx="16">
                    <c:v>3.0285172720960318E-2</c:v>
                  </c:pt>
                  <c:pt idx="17">
                    <c:v>2.9456900679993403E-2</c:v>
                  </c:pt>
                  <c:pt idx="18">
                    <c:v>2.9816795052314049E-2</c:v>
                  </c:pt>
                  <c:pt idx="19">
                    <c:v>3.07068571239828E-2</c:v>
                  </c:pt>
                  <c:pt idx="20">
                    <c:v>3.4073062769706119E-2</c:v>
                  </c:pt>
                </c:numCache>
              </c:numRef>
            </c:plus>
            <c:minus>
              <c:numRef>
                <c:f>'R10.S.S.sd'!$N$25:$N$45</c:f>
                <c:numCache>
                  <c:formatCode>General</c:formatCode>
                  <c:ptCount val="21"/>
                  <c:pt idx="0">
                    <c:v>2.4547027682803257E-2</c:v>
                  </c:pt>
                  <c:pt idx="1">
                    <c:v>2.3843785983867161E-2</c:v>
                  </c:pt>
                  <c:pt idx="2">
                    <c:v>2.605345284380256E-2</c:v>
                  </c:pt>
                  <c:pt idx="3">
                    <c:v>2.5796066950469321E-2</c:v>
                  </c:pt>
                  <c:pt idx="4">
                    <c:v>2.9538862159829593E-2</c:v>
                  </c:pt>
                  <c:pt idx="5">
                    <c:v>4.2457492131817265E-2</c:v>
                  </c:pt>
                  <c:pt idx="6">
                    <c:v>7.0257284933943787E-2</c:v>
                  </c:pt>
                  <c:pt idx="7">
                    <c:v>8.9400428872069337E-2</c:v>
                  </c:pt>
                  <c:pt idx="8">
                    <c:v>7.5946792784747252E-2</c:v>
                  </c:pt>
                  <c:pt idx="9">
                    <c:v>6.0603036870751303E-2</c:v>
                  </c:pt>
                  <c:pt idx="10">
                    <c:v>4.4204080942701118E-2</c:v>
                  </c:pt>
                  <c:pt idx="11">
                    <c:v>4.369486790409649E-2</c:v>
                  </c:pt>
                  <c:pt idx="12">
                    <c:v>3.6880937151559046E-2</c:v>
                  </c:pt>
                  <c:pt idx="13">
                    <c:v>3.7518711379969538E-2</c:v>
                  </c:pt>
                  <c:pt idx="14">
                    <c:v>3.4846818925953649E-2</c:v>
                  </c:pt>
                  <c:pt idx="15">
                    <c:v>3.057053799321352E-2</c:v>
                  </c:pt>
                  <c:pt idx="16">
                    <c:v>3.0075443218056108E-2</c:v>
                  </c:pt>
                  <c:pt idx="17">
                    <c:v>2.9258448585422592E-2</c:v>
                  </c:pt>
                  <c:pt idx="18">
                    <c:v>2.961348081056947E-2</c:v>
                  </c:pt>
                  <c:pt idx="19">
                    <c:v>3.0491267265102984E-2</c:v>
                  </c:pt>
                  <c:pt idx="20">
                    <c:v>3.3807818372563858E-2</c:v>
                  </c:pt>
                </c:numCache>
              </c:numRef>
            </c:minus>
            <c:spPr>
              <a:noFill/>
              <a:ln w="9525" cap="flat" cmpd="sng" algn="ctr">
                <a:solidFill>
                  <a:schemeClr val="tx1">
                    <a:lumMod val="65000"/>
                    <a:lumOff val="35000"/>
                  </a:schemeClr>
                </a:solidFill>
                <a:round/>
              </a:ln>
              <a:effectLst/>
            </c:spPr>
          </c:errBars>
          <c:xVal>
            <c:numRef>
              <c:f>'R10.S.S.sd'!$D$25:$D$45</c:f>
              <c:numCache>
                <c:formatCode>#,##0.00</c:formatCode>
                <c:ptCount val="21"/>
                <c:pt idx="0">
                  <c:v>0</c:v>
                </c:pt>
                <c:pt idx="1">
                  <c:v>0.01</c:v>
                </c:pt>
                <c:pt idx="2">
                  <c:v>0.02</c:v>
                </c:pt>
                <c:pt idx="3">
                  <c:v>0.03</c:v>
                </c:pt>
                <c:pt idx="4">
                  <c:v>0.04</c:v>
                </c:pt>
                <c:pt idx="5">
                  <c:v>0.05</c:v>
                </c:pt>
                <c:pt idx="6">
                  <c:v>0.06</c:v>
                </c:pt>
                <c:pt idx="7">
                  <c:v>7.0000000000000007E-2</c:v>
                </c:pt>
                <c:pt idx="8">
                  <c:v>0.08</c:v>
                </c:pt>
                <c:pt idx="9">
                  <c:v>0.09</c:v>
                </c:pt>
                <c:pt idx="10">
                  <c:v>0.1</c:v>
                </c:pt>
                <c:pt idx="11">
                  <c:v>0.11</c:v>
                </c:pt>
                <c:pt idx="12">
                  <c:v>0.12</c:v>
                </c:pt>
                <c:pt idx="13">
                  <c:v>0.13</c:v>
                </c:pt>
                <c:pt idx="14">
                  <c:v>0.14000000000000001</c:v>
                </c:pt>
                <c:pt idx="15">
                  <c:v>0.15</c:v>
                </c:pt>
                <c:pt idx="16">
                  <c:v>0.16</c:v>
                </c:pt>
                <c:pt idx="17">
                  <c:v>0.17</c:v>
                </c:pt>
                <c:pt idx="18">
                  <c:v>0.18</c:v>
                </c:pt>
                <c:pt idx="19">
                  <c:v>0.19</c:v>
                </c:pt>
                <c:pt idx="20">
                  <c:v>0.2</c:v>
                </c:pt>
              </c:numCache>
            </c:numRef>
          </c:xVal>
          <c:yVal>
            <c:numRef>
              <c:f>'R10.S.S.sd'!$K$25:$K$45</c:f>
              <c:numCache>
                <c:formatCode>#,##0.0000</c:formatCode>
                <c:ptCount val="21"/>
                <c:pt idx="0">
                  <c:v>1.9050762306265814</c:v>
                </c:pt>
                <c:pt idx="1">
                  <c:v>1.9024955190022124</c:v>
                </c:pt>
                <c:pt idx="2">
                  <c:v>1.8664144138898946</c:v>
                </c:pt>
                <c:pt idx="3">
                  <c:v>1.7978759021161705</c:v>
                </c:pt>
                <c:pt idx="4">
                  <c:v>1.8724257192924607</c:v>
                </c:pt>
                <c:pt idx="5">
                  <c:v>2.2521548424753473</c:v>
                </c:pt>
                <c:pt idx="6">
                  <c:v>2.9985898072258048</c:v>
                </c:pt>
                <c:pt idx="7">
                  <c:v>4.0408144665756875</c:v>
                </c:pt>
                <c:pt idx="8">
                  <c:v>4.8408202291275284</c:v>
                </c:pt>
                <c:pt idx="9">
                  <c:v>5.1703118681474294</c:v>
                </c:pt>
                <c:pt idx="10">
                  <c:v>5.3199748459754304</c:v>
                </c:pt>
                <c:pt idx="11">
                  <c:v>5.2812180069270944</c:v>
                </c:pt>
                <c:pt idx="12">
                  <c:v>5.191310763128322</c:v>
                </c:pt>
                <c:pt idx="13">
                  <c:v>5.0751898987112343</c:v>
                </c:pt>
                <c:pt idx="14">
                  <c:v>4.949405091232598</c:v>
                </c:pt>
                <c:pt idx="15">
                  <c:v>4.8368502422205069</c:v>
                </c:pt>
                <c:pt idx="16">
                  <c:v>4.6898969247899993</c:v>
                </c:pt>
                <c:pt idx="17">
                  <c:v>4.5758957018840709</c:v>
                </c:pt>
                <c:pt idx="18">
                  <c:v>4.4313488948005659</c:v>
                </c:pt>
                <c:pt idx="19">
                  <c:v>4.3344466911694504</c:v>
                </c:pt>
                <c:pt idx="20">
                  <c:v>4.2289134485626523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4CF3-4AC1-9EA0-DBF1A47D3EB8}"/>
            </c:ext>
          </c:extLst>
        </c:ser>
        <c:ser>
          <c:idx val="2"/>
          <c:order val="2"/>
          <c:tx>
            <c:v>Codebook 3</c:v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errBars>
            <c:errDir val="x"/>
            <c:errBarType val="both"/>
            <c:errValType val="stdErr"/>
            <c:noEndCap val="0"/>
            <c:spPr>
              <a:noFill/>
              <a:ln w="9525" cap="flat" cmpd="sng" algn="ctr">
                <a:noFill/>
                <a:round/>
              </a:ln>
              <a:effectLst/>
            </c:spPr>
          </c:errBars>
          <c:errBars>
            <c:errDir val="y"/>
            <c:errBarType val="both"/>
            <c:errValType val="cust"/>
            <c:noEndCap val="0"/>
            <c:plus>
              <c:numRef>
                <c:f>'R10.S.S.sd'!$O$47:$O$67</c:f>
                <c:numCache>
                  <c:formatCode>General</c:formatCode>
                  <c:ptCount val="21"/>
                  <c:pt idx="0">
                    <c:v>4.6210599209882908E-2</c:v>
                  </c:pt>
                  <c:pt idx="1">
                    <c:v>4.988300835925541E-2</c:v>
                  </c:pt>
                  <c:pt idx="2">
                    <c:v>4.9555364743998354E-2</c:v>
                  </c:pt>
                  <c:pt idx="3">
                    <c:v>3.7857528229283233E-2</c:v>
                  </c:pt>
                  <c:pt idx="4">
                    <c:v>3.3994645406460133E-2</c:v>
                  </c:pt>
                  <c:pt idx="5">
                    <c:v>2.8179290604199103E-2</c:v>
                  </c:pt>
                  <c:pt idx="6">
                    <c:v>2.7767685019676414E-2</c:v>
                  </c:pt>
                  <c:pt idx="7">
                    <c:v>2.6303048026327769E-2</c:v>
                  </c:pt>
                  <c:pt idx="8">
                    <c:v>3.1224260267226356E-2</c:v>
                  </c:pt>
                  <c:pt idx="9">
                    <c:v>3.1177398325446859E-2</c:v>
                  </c:pt>
                  <c:pt idx="10">
                    <c:v>2.8078698033061844E-2</c:v>
                  </c:pt>
                  <c:pt idx="11">
                    <c:v>3.2024958858249963E-2</c:v>
                  </c:pt>
                  <c:pt idx="12">
                    <c:v>3.3598226742719284E-2</c:v>
                  </c:pt>
                  <c:pt idx="13">
                    <c:v>3.1780697425360493E-2</c:v>
                  </c:pt>
                  <c:pt idx="14">
                    <c:v>3.254370007477414E-2</c:v>
                  </c:pt>
                  <c:pt idx="15">
                    <c:v>3.9301499575933097E-2</c:v>
                  </c:pt>
                  <c:pt idx="16">
                    <c:v>4.2620586181980169E-2</c:v>
                  </c:pt>
                  <c:pt idx="17">
                    <c:v>2.7561022682642378E-2</c:v>
                  </c:pt>
                  <c:pt idx="18">
                    <c:v>2.5298257296865856E-2</c:v>
                  </c:pt>
                  <c:pt idx="19">
                    <c:v>2.3503708329351003E-2</c:v>
                  </c:pt>
                  <c:pt idx="20">
                    <c:v>2.3185812599136657E-2</c:v>
                  </c:pt>
                </c:numCache>
              </c:numRef>
            </c:plus>
            <c:minus>
              <c:numRef>
                <c:f>'R10.S.S.sd'!$N$47:$N$67</c:f>
                <c:numCache>
                  <c:formatCode>General</c:formatCode>
                  <c:ptCount val="21"/>
                  <c:pt idx="0">
                    <c:v>4.5724072987592734E-2</c:v>
                  </c:pt>
                  <c:pt idx="1">
                    <c:v>4.931655290969239E-2</c:v>
                  </c:pt>
                  <c:pt idx="2">
                    <c:v>4.8996284466416906E-2</c:v>
                  </c:pt>
                  <c:pt idx="3">
                    <c:v>3.7530373235945103E-2</c:v>
                  </c:pt>
                  <c:pt idx="4">
                    <c:v>3.3730615772292083E-2</c:v>
                  </c:pt>
                  <c:pt idx="5">
                    <c:v>2.799762676918327E-2</c:v>
                  </c:pt>
                  <c:pt idx="6">
                    <c:v>2.7591272838810355E-2</c:v>
                  </c:pt>
                  <c:pt idx="7">
                    <c:v>2.6144702140270315E-2</c:v>
                  </c:pt>
                  <c:pt idx="8">
                    <c:v>3.1001370261940941E-2</c:v>
                  </c:pt>
                  <c:pt idx="9">
                    <c:v>3.0955174474968317E-2</c:v>
                  </c:pt>
                  <c:pt idx="10">
                    <c:v>2.7898324719727974E-2</c:v>
                  </c:pt>
                  <c:pt idx="11">
                    <c:v>3.179053379442065E-2</c:v>
                  </c:pt>
                  <c:pt idx="12">
                    <c:v>3.3340295683332855E-2</c:v>
                  </c:pt>
                  <c:pt idx="13">
                    <c:v>3.1549821872833839E-2</c:v>
                  </c:pt>
                  <c:pt idx="14">
                    <c:v>3.2301647720542004E-2</c:v>
                  </c:pt>
                  <c:pt idx="15">
                    <c:v>3.8949027781895129E-2</c:v>
                  </c:pt>
                  <c:pt idx="16">
                    <c:v>4.2206379917630876E-2</c:v>
                  </c:pt>
                  <c:pt idx="17">
                    <c:v>2.7387218432942895E-2</c:v>
                  </c:pt>
                  <c:pt idx="18">
                    <c:v>2.515174447697488E-2</c:v>
                  </c:pt>
                  <c:pt idx="19">
                    <c:v>2.3377192320830797E-2</c:v>
                  </c:pt>
                  <c:pt idx="20">
                    <c:v>2.3062686835259694E-2</c:v>
                  </c:pt>
                </c:numCache>
              </c:numRef>
            </c:minus>
            <c:spPr>
              <a:noFill/>
              <a:ln w="9525" cap="flat" cmpd="sng" algn="ctr">
                <a:solidFill>
                  <a:schemeClr val="tx1">
                    <a:lumMod val="65000"/>
                    <a:lumOff val="35000"/>
                  </a:schemeClr>
                </a:solidFill>
                <a:round/>
              </a:ln>
              <a:effectLst/>
            </c:spPr>
          </c:errBars>
          <c:xVal>
            <c:numRef>
              <c:f>'R10.S.S.sd'!$D$47:$D$67</c:f>
              <c:numCache>
                <c:formatCode>#,##0.00</c:formatCode>
                <c:ptCount val="21"/>
                <c:pt idx="0">
                  <c:v>0</c:v>
                </c:pt>
                <c:pt idx="1">
                  <c:v>0.01</c:v>
                </c:pt>
                <c:pt idx="2">
                  <c:v>0.02</c:v>
                </c:pt>
                <c:pt idx="3">
                  <c:v>0.03</c:v>
                </c:pt>
                <c:pt idx="4">
                  <c:v>0.04</c:v>
                </c:pt>
                <c:pt idx="5">
                  <c:v>0.05</c:v>
                </c:pt>
                <c:pt idx="6">
                  <c:v>0.06</c:v>
                </c:pt>
                <c:pt idx="7">
                  <c:v>7.0000000000000007E-2</c:v>
                </c:pt>
                <c:pt idx="8">
                  <c:v>0.08</c:v>
                </c:pt>
                <c:pt idx="9">
                  <c:v>0.09</c:v>
                </c:pt>
                <c:pt idx="10">
                  <c:v>0.1</c:v>
                </c:pt>
                <c:pt idx="11">
                  <c:v>0.11</c:v>
                </c:pt>
                <c:pt idx="12">
                  <c:v>0.12</c:v>
                </c:pt>
                <c:pt idx="13">
                  <c:v>0.13</c:v>
                </c:pt>
                <c:pt idx="14">
                  <c:v>0.14000000000000001</c:v>
                </c:pt>
                <c:pt idx="15">
                  <c:v>0.15</c:v>
                </c:pt>
                <c:pt idx="16">
                  <c:v>0.16</c:v>
                </c:pt>
                <c:pt idx="17">
                  <c:v>0.17</c:v>
                </c:pt>
                <c:pt idx="18">
                  <c:v>0.18</c:v>
                </c:pt>
                <c:pt idx="19">
                  <c:v>0.19</c:v>
                </c:pt>
                <c:pt idx="20">
                  <c:v>0.2</c:v>
                </c:pt>
              </c:numCache>
            </c:numRef>
          </c:xVal>
          <c:yVal>
            <c:numRef>
              <c:f>'R10.S.S.sd'!$K$47:$K$67</c:f>
              <c:numCache>
                <c:formatCode>#,##0.0000</c:formatCode>
                <c:ptCount val="21"/>
                <c:pt idx="0">
                  <c:v>2.8086214421428686</c:v>
                </c:pt>
                <c:pt idx="1">
                  <c:v>2.8302336914071042</c:v>
                </c:pt>
                <c:pt idx="2">
                  <c:v>2.9030613027220813</c:v>
                </c:pt>
                <c:pt idx="3">
                  <c:v>2.9954147178241577</c:v>
                </c:pt>
                <c:pt idx="4">
                  <c:v>3.1863814202041474</c:v>
                </c:pt>
                <c:pt idx="5">
                  <c:v>3.1300643373532155</c:v>
                </c:pt>
                <c:pt idx="6">
                  <c:v>2.9903682184045071</c:v>
                </c:pt>
                <c:pt idx="7">
                  <c:v>2.8317616990036494</c:v>
                </c:pt>
                <c:pt idx="8">
                  <c:v>2.7248585333581476</c:v>
                </c:pt>
                <c:pt idx="9">
                  <c:v>2.5904549417719478</c:v>
                </c:pt>
                <c:pt idx="10">
                  <c:v>2.49761676793596</c:v>
                </c:pt>
                <c:pt idx="11">
                  <c:v>2.4717078058770547</c:v>
                </c:pt>
                <c:pt idx="12">
                  <c:v>2.498774732165999</c:v>
                </c:pt>
                <c:pt idx="13">
                  <c:v>2.465956999002751</c:v>
                </c:pt>
                <c:pt idx="14">
                  <c:v>2.4701735126403714</c:v>
                </c:pt>
                <c:pt idx="15">
                  <c:v>2.5134690657573264</c:v>
                </c:pt>
                <c:pt idx="16">
                  <c:v>2.5706549446832092</c:v>
                </c:pt>
                <c:pt idx="17">
                  <c:v>2.6418826301164833</c:v>
                </c:pt>
                <c:pt idx="18">
                  <c:v>2.6316543988960688</c:v>
                </c:pt>
                <c:pt idx="19">
                  <c:v>2.6528015834432011</c:v>
                </c:pt>
                <c:pt idx="20">
                  <c:v>2.6867989828109513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4CF3-4AC1-9EA0-DBF1A47D3EB8}"/>
            </c:ext>
          </c:extLst>
        </c:ser>
        <c:ser>
          <c:idx val="3"/>
          <c:order val="3"/>
          <c:tx>
            <c:v>Codebook 4</c:v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errBars>
            <c:errDir val="x"/>
            <c:errBarType val="both"/>
            <c:errValType val="stdErr"/>
            <c:noEndCap val="0"/>
            <c:spPr>
              <a:noFill/>
              <a:ln w="9525" cap="flat" cmpd="sng" algn="ctr">
                <a:noFill/>
                <a:round/>
              </a:ln>
              <a:effectLst/>
            </c:spPr>
          </c:errBars>
          <c:errBars>
            <c:errDir val="y"/>
            <c:errBarType val="both"/>
            <c:errValType val="cust"/>
            <c:noEndCap val="0"/>
            <c:plus>
              <c:numRef>
                <c:f>'R10.S.S.sd'!$O$69:$O$89</c:f>
                <c:numCache>
                  <c:formatCode>General</c:formatCode>
                  <c:ptCount val="21"/>
                  <c:pt idx="0">
                    <c:v>0</c:v>
                  </c:pt>
                  <c:pt idx="1">
                    <c:v>0</c:v>
                  </c:pt>
                  <c:pt idx="2">
                    <c:v>0</c:v>
                  </c:pt>
                  <c:pt idx="3">
                    <c:v>0</c:v>
                  </c:pt>
                  <c:pt idx="4">
                    <c:v>0</c:v>
                  </c:pt>
                  <c:pt idx="5">
                    <c:v>0</c:v>
                  </c:pt>
                  <c:pt idx="6">
                    <c:v>0</c:v>
                  </c:pt>
                  <c:pt idx="7">
                    <c:v>0</c:v>
                  </c:pt>
                  <c:pt idx="8">
                    <c:v>0</c:v>
                  </c:pt>
                  <c:pt idx="9">
                    <c:v>0</c:v>
                  </c:pt>
                  <c:pt idx="10">
                    <c:v>0</c:v>
                  </c:pt>
                  <c:pt idx="11">
                    <c:v>0</c:v>
                  </c:pt>
                  <c:pt idx="12">
                    <c:v>0</c:v>
                  </c:pt>
                  <c:pt idx="13">
                    <c:v>0</c:v>
                  </c:pt>
                  <c:pt idx="14">
                    <c:v>0</c:v>
                  </c:pt>
                  <c:pt idx="15">
                    <c:v>0</c:v>
                  </c:pt>
                  <c:pt idx="16">
                    <c:v>0</c:v>
                  </c:pt>
                  <c:pt idx="17">
                    <c:v>0</c:v>
                  </c:pt>
                  <c:pt idx="18">
                    <c:v>0</c:v>
                  </c:pt>
                  <c:pt idx="19">
                    <c:v>0</c:v>
                  </c:pt>
                  <c:pt idx="20">
                    <c:v>0</c:v>
                  </c:pt>
                </c:numCache>
              </c:numRef>
            </c:plus>
            <c:minus>
              <c:numRef>
                <c:f>'R10.S.S.sd'!$N$69:$N$89</c:f>
                <c:numCache>
                  <c:formatCode>General</c:formatCode>
                  <c:ptCount val="21"/>
                  <c:pt idx="0">
                    <c:v>0</c:v>
                  </c:pt>
                  <c:pt idx="1">
                    <c:v>0</c:v>
                  </c:pt>
                  <c:pt idx="2">
                    <c:v>0</c:v>
                  </c:pt>
                  <c:pt idx="3">
                    <c:v>0</c:v>
                  </c:pt>
                  <c:pt idx="4">
                    <c:v>0</c:v>
                  </c:pt>
                  <c:pt idx="5">
                    <c:v>0</c:v>
                  </c:pt>
                  <c:pt idx="6">
                    <c:v>0</c:v>
                  </c:pt>
                  <c:pt idx="7">
                    <c:v>0</c:v>
                  </c:pt>
                  <c:pt idx="8">
                    <c:v>0</c:v>
                  </c:pt>
                  <c:pt idx="9">
                    <c:v>0</c:v>
                  </c:pt>
                  <c:pt idx="10">
                    <c:v>0</c:v>
                  </c:pt>
                  <c:pt idx="11">
                    <c:v>0</c:v>
                  </c:pt>
                  <c:pt idx="12">
                    <c:v>0</c:v>
                  </c:pt>
                  <c:pt idx="13">
                    <c:v>0</c:v>
                  </c:pt>
                  <c:pt idx="14">
                    <c:v>0</c:v>
                  </c:pt>
                  <c:pt idx="15">
                    <c:v>0</c:v>
                  </c:pt>
                  <c:pt idx="16">
                    <c:v>0</c:v>
                  </c:pt>
                  <c:pt idx="17">
                    <c:v>0</c:v>
                  </c:pt>
                  <c:pt idx="18">
                    <c:v>0</c:v>
                  </c:pt>
                  <c:pt idx="19">
                    <c:v>0</c:v>
                  </c:pt>
                  <c:pt idx="20">
                    <c:v>0</c:v>
                  </c:pt>
                </c:numCache>
              </c:numRef>
            </c:minus>
            <c:spPr>
              <a:noFill/>
              <a:ln w="9525" cap="flat" cmpd="sng" algn="ctr">
                <a:solidFill>
                  <a:schemeClr val="tx1">
                    <a:lumMod val="65000"/>
                    <a:lumOff val="35000"/>
                  </a:schemeClr>
                </a:solidFill>
                <a:round/>
              </a:ln>
              <a:effectLst/>
            </c:spPr>
          </c:errBars>
          <c:xVal>
            <c:numRef>
              <c:f>'R10.S.S.sd'!$D$69:$D$89</c:f>
              <c:numCache>
                <c:formatCode>#,##0.00</c:formatCode>
                <c:ptCount val="21"/>
              </c:numCache>
            </c:numRef>
          </c:xVal>
          <c:yVal>
            <c:numRef>
              <c:f>'R10.S.S.sd'!$K$69:$K$89</c:f>
              <c:numCache>
                <c:formatCode>#,##0.0000</c:formatCode>
                <c:ptCount val="2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4CF3-4AC1-9EA0-DBF1A47D3EB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78679920"/>
        <c:axId val="802641424"/>
      </c:scatterChart>
      <c:valAx>
        <c:axId val="578679920"/>
        <c:scaling>
          <c:orientation val="minMax"/>
          <c:max val="0.2"/>
          <c:min val="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AU"/>
                  <a:t>Normalised</a:t>
                </a:r>
                <a:r>
                  <a:rPr lang="en-AU" baseline="0"/>
                  <a:t> noise, </a:t>
                </a:r>
                <a:r>
                  <a:rPr lang="en-AU" sz="1000" b="0" i="1" u="none" strike="noStrike" kern="1200" spc="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  <a:cs typeface="Times New Roman" panose="02020603050405020304" pitchFamily="18" charset="0"/>
                  </a:rPr>
                  <a:t>σ</a:t>
                </a:r>
                <a:r>
                  <a:rPr lang="en-AU" baseline="0"/>
                  <a:t> </a:t>
                </a:r>
                <a:endParaRPr lang="en-AU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#,##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02641424"/>
        <c:crosses val="autoZero"/>
        <c:crossBetween val="midCat"/>
        <c:majorUnit val="2.0000000000000004E-2"/>
      </c:valAx>
      <c:valAx>
        <c:axId val="802641424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AU"/>
                  <a:t>Q</a:t>
                </a:r>
                <a:r>
                  <a:rPr lang="en-AU" baseline="0"/>
                  <a:t>uality score, </a:t>
                </a:r>
                <a:r>
                  <a:rPr lang="en-AU" i="1" baseline="0"/>
                  <a:t>Q</a:t>
                </a:r>
                <a:endParaRPr lang="en-AU" i="1"/>
              </a:p>
            </c:rich>
          </c:tx>
          <c:layout>
            <c:manualLayout>
              <c:xMode val="edge"/>
              <c:yMode val="edge"/>
              <c:x val="1.2630035540302917E-2"/>
              <c:y val="0.3506217297161231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#,##0.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78679920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7715254705504232"/>
          <c:y val="0.34878351652668288"/>
          <c:w val="0.21228217619277828"/>
          <c:h val="0.3436151953612574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6350" cap="flat" cmpd="sng" algn="ctr">
      <a:solidFill>
        <a:schemeClr val="tx1"/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AU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Quality score vs. </a:t>
            </a:r>
            <a:r>
              <a:rPr lang="en-AU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cs typeface="Times New Roman" panose="02020603050405020304" pitchFamily="18" charset="0"/>
              </a:rPr>
              <a:t>Pad-length : Dorado R9 'sup'</a:t>
            </a:r>
            <a:endParaRPr lang="en-AU" sz="1400" b="0" i="0" u="none" strike="noStrike" kern="1200" spc="0" baseline="0">
              <a:solidFill>
                <a:sysClr val="windowText" lastClr="000000">
                  <a:lumMod val="65000"/>
                  <a:lumOff val="35000"/>
                </a:sysClr>
              </a:solidFill>
            </a:endParaRPr>
          </a:p>
        </c:rich>
      </c:tx>
      <c:layout>
        <c:manualLayout>
          <c:xMode val="edge"/>
          <c:yMode val="edge"/>
          <c:x val="0.1592831316362511"/>
          <c:y val="3.2615699591851961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1368158226066076"/>
          <c:y val="0.15826550596557501"/>
          <c:w val="0.66061018822016926"/>
          <c:h val="0.65642128030386226"/>
        </c:manualLayout>
      </c:layout>
      <c:scatterChart>
        <c:scatterStyle val="lineMarker"/>
        <c:varyColors val="0"/>
        <c:ser>
          <c:idx val="1"/>
          <c:order val="0"/>
          <c:tx>
            <c:strRef>
              <c:f>'R9.K.Ds.pad'!$A$2</c:f>
              <c:strCache>
                <c:ptCount val="1"/>
                <c:pt idx="0">
                  <c:v>Codebook 1</c:v>
                </c:pt>
              </c:strCache>
            </c:strRef>
          </c:tx>
          <c:spPr>
            <a:ln w="19050" cap="rnd">
              <a:solidFill>
                <a:srgbClr val="FF0000"/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rgbClr val="FF0000"/>
              </a:solidFill>
              <a:ln w="9525">
                <a:solidFill>
                  <a:srgbClr val="FF0000"/>
                </a:solidFill>
              </a:ln>
              <a:effectLst/>
            </c:spPr>
          </c:marker>
          <c:errBars>
            <c:errDir val="x"/>
            <c:errBarType val="both"/>
            <c:errValType val="stdErr"/>
            <c:noEndCap val="0"/>
            <c:spPr>
              <a:noFill/>
              <a:ln w="9525" cap="flat" cmpd="sng" algn="ctr">
                <a:noFill/>
                <a:round/>
              </a:ln>
              <a:effectLst/>
            </c:spPr>
          </c:errBars>
          <c:errBars>
            <c:errDir val="y"/>
            <c:errBarType val="both"/>
            <c:errValType val="cust"/>
            <c:noEndCap val="0"/>
            <c:plus>
              <c:numRef>
                <c:f>'R9.K.Ds.pad'!$O$3:$O$23</c:f>
                <c:numCache>
                  <c:formatCode>General</c:formatCode>
                  <c:ptCount val="21"/>
                  <c:pt idx="0">
                    <c:v>7.2674125085992358E-2</c:v>
                  </c:pt>
                  <c:pt idx="1">
                    <c:v>7.254729012852934E-2</c:v>
                  </c:pt>
                  <c:pt idx="2">
                    <c:v>7.2745229037051828E-2</c:v>
                  </c:pt>
                  <c:pt idx="3">
                    <c:v>7.6896390322035657E-2</c:v>
                  </c:pt>
                  <c:pt idx="4">
                    <c:v>7.3748381228469384E-2</c:v>
                  </c:pt>
                  <c:pt idx="5">
                    <c:v>7.4387098947678254E-2</c:v>
                  </c:pt>
                  <c:pt idx="6">
                    <c:v>7.6313659026499892E-2</c:v>
                  </c:pt>
                  <c:pt idx="7">
                    <c:v>6.9982419960814113E-2</c:v>
                  </c:pt>
                  <c:pt idx="8">
                    <c:v>7.0241066972453581E-2</c:v>
                  </c:pt>
                  <c:pt idx="9">
                    <c:v>6.8625167653568298E-2</c:v>
                  </c:pt>
                  <c:pt idx="10">
                    <c:v>7.3176363047057436E-2</c:v>
                  </c:pt>
                  <c:pt idx="11">
                    <c:v>0</c:v>
                  </c:pt>
                  <c:pt idx="12">
                    <c:v>0</c:v>
                  </c:pt>
                  <c:pt idx="13">
                    <c:v>0</c:v>
                  </c:pt>
                  <c:pt idx="14">
                    <c:v>0</c:v>
                  </c:pt>
                  <c:pt idx="15">
                    <c:v>0</c:v>
                  </c:pt>
                  <c:pt idx="16">
                    <c:v>0</c:v>
                  </c:pt>
                  <c:pt idx="17">
                    <c:v>0</c:v>
                  </c:pt>
                  <c:pt idx="18">
                    <c:v>0</c:v>
                  </c:pt>
                  <c:pt idx="19">
                    <c:v>0</c:v>
                  </c:pt>
                  <c:pt idx="20">
                    <c:v>0</c:v>
                  </c:pt>
                </c:numCache>
              </c:numRef>
            </c:plus>
            <c:minus>
              <c:numRef>
                <c:f>'R9.K.Ds.pad'!$N$3:$N$23</c:f>
                <c:numCache>
                  <c:formatCode>General</c:formatCode>
                  <c:ptCount val="21"/>
                  <c:pt idx="0">
                    <c:v>7.1477996582506975E-2</c:v>
                  </c:pt>
                  <c:pt idx="1">
                    <c:v>7.1355298936126133E-2</c:v>
                  </c:pt>
                  <c:pt idx="2">
                    <c:v>7.1546778064261574E-2</c:v>
                  </c:pt>
                  <c:pt idx="3">
                    <c:v>7.5558513299329277E-2</c:v>
                  </c:pt>
                  <c:pt idx="4">
                    <c:v>7.2516928226082911E-2</c:v>
                  </c:pt>
                  <c:pt idx="5">
                    <c:v>7.3134403574535156E-2</c:v>
                  </c:pt>
                  <c:pt idx="6">
                    <c:v>7.4995809141858771E-2</c:v>
                  </c:pt>
                  <c:pt idx="7">
                    <c:v>6.8872580282937079E-2</c:v>
                  </c:pt>
                  <c:pt idx="8">
                    <c:v>6.9123073810063218E-2</c:v>
                  </c:pt>
                  <c:pt idx="9">
                    <c:v>6.755763192003883E-2</c:v>
                  </c:pt>
                  <c:pt idx="10">
                    <c:v>7.1963782501200058E-2</c:v>
                  </c:pt>
                  <c:pt idx="11">
                    <c:v>0</c:v>
                  </c:pt>
                  <c:pt idx="12">
                    <c:v>0</c:v>
                  </c:pt>
                  <c:pt idx="13">
                    <c:v>0</c:v>
                  </c:pt>
                  <c:pt idx="14">
                    <c:v>0</c:v>
                  </c:pt>
                  <c:pt idx="15">
                    <c:v>0</c:v>
                  </c:pt>
                  <c:pt idx="16">
                    <c:v>0</c:v>
                  </c:pt>
                  <c:pt idx="17">
                    <c:v>0</c:v>
                  </c:pt>
                  <c:pt idx="18">
                    <c:v>0</c:v>
                  </c:pt>
                  <c:pt idx="19">
                    <c:v>0</c:v>
                  </c:pt>
                  <c:pt idx="20">
                    <c:v>0</c:v>
                  </c:pt>
                </c:numCache>
              </c:numRef>
            </c:minus>
            <c:spPr>
              <a:noFill/>
              <a:ln w="9525" cap="flat" cmpd="sng" algn="ctr">
                <a:solidFill>
                  <a:schemeClr val="tx1">
                    <a:lumMod val="65000"/>
                    <a:lumOff val="35000"/>
                  </a:schemeClr>
                </a:solidFill>
                <a:round/>
              </a:ln>
              <a:effectLst/>
            </c:spPr>
          </c:errBars>
          <c:xVal>
            <c:numRef>
              <c:f>'R9.K.Ds.pad'!$I$3:$I$23</c:f>
              <c:numCache>
                <c:formatCode>#,##0.00</c:formatCode>
                <c:ptCount val="2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</c:numCache>
            </c:numRef>
          </c:xVal>
          <c:yVal>
            <c:numRef>
              <c:f>'R9.K.Ds.pad'!$K$3:$K$23</c:f>
              <c:numCache>
                <c:formatCode>#,##0.0000</c:formatCode>
                <c:ptCount val="21"/>
                <c:pt idx="0">
                  <c:v>8.0826960663714367</c:v>
                </c:pt>
                <c:pt idx="1">
                  <c:v>8.1417464038703784</c:v>
                </c:pt>
                <c:pt idx="2">
                  <c:v>8.1853753931259963</c:v>
                </c:pt>
                <c:pt idx="3">
                  <c:v>8.0840927362078947</c:v>
                </c:pt>
                <c:pt idx="4">
                  <c:v>8.1939630051455428</c:v>
                </c:pt>
                <c:pt idx="5">
                  <c:v>8.22319240151222</c:v>
                </c:pt>
                <c:pt idx="6">
                  <c:v>8.1393877741382443</c:v>
                </c:pt>
                <c:pt idx="7">
                  <c:v>8.1853753931259963</c:v>
                </c:pt>
                <c:pt idx="8">
                  <c:v>8.1379732109145007</c:v>
                </c:pt>
                <c:pt idx="9">
                  <c:v>8.070610372465282</c:v>
                </c:pt>
                <c:pt idx="10">
                  <c:v>7.8821223709910804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9F9-4E51-90C9-33ED0987DA53}"/>
            </c:ext>
          </c:extLst>
        </c:ser>
        <c:ser>
          <c:idx val="0"/>
          <c:order val="1"/>
          <c:tx>
            <c:strRef>
              <c:f>'R9.K.Ds.pad'!$A$24</c:f>
              <c:strCache>
                <c:ptCount val="1"/>
                <c:pt idx="0">
                  <c:v>Codebook 2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errBars>
            <c:errDir val="x"/>
            <c:errBarType val="both"/>
            <c:errValType val="stdErr"/>
            <c:noEndCap val="0"/>
            <c:spPr>
              <a:noFill/>
              <a:ln w="9525" cap="flat" cmpd="sng" algn="ctr">
                <a:noFill/>
                <a:round/>
              </a:ln>
              <a:effectLst/>
            </c:spPr>
          </c:errBars>
          <c:errBars>
            <c:errDir val="y"/>
            <c:errBarType val="both"/>
            <c:errValType val="cust"/>
            <c:noEndCap val="0"/>
            <c:plus>
              <c:numRef>
                <c:f>'R9.K.Ds.pad'!$O$25:$O$45</c:f>
                <c:numCache>
                  <c:formatCode>General</c:formatCode>
                  <c:ptCount val="21"/>
                  <c:pt idx="0">
                    <c:v>2.8518526660207044E-2</c:v>
                  </c:pt>
                  <c:pt idx="1">
                    <c:v>2.8576746051761859E-2</c:v>
                  </c:pt>
                  <c:pt idx="2">
                    <c:v>2.8885732517474949E-2</c:v>
                  </c:pt>
                  <c:pt idx="3">
                    <c:v>2.9380175396577002E-2</c:v>
                  </c:pt>
                  <c:pt idx="4">
                    <c:v>2.9335696863888927E-2</c:v>
                  </c:pt>
                  <c:pt idx="5">
                    <c:v>3.0523225429543999E-2</c:v>
                  </c:pt>
                  <c:pt idx="6">
                    <c:v>2.9010641067435117E-2</c:v>
                  </c:pt>
                  <c:pt idx="7">
                    <c:v>3.090804600587127E-2</c:v>
                  </c:pt>
                  <c:pt idx="8">
                    <c:v>2.8175912238225465E-2</c:v>
                  </c:pt>
                  <c:pt idx="9">
                    <c:v>2.8468898560788602E-2</c:v>
                  </c:pt>
                  <c:pt idx="10">
                    <c:v>2.825905000248774E-2</c:v>
                  </c:pt>
                  <c:pt idx="11">
                    <c:v>0</c:v>
                  </c:pt>
                  <c:pt idx="12">
                    <c:v>0</c:v>
                  </c:pt>
                  <c:pt idx="13">
                    <c:v>0</c:v>
                  </c:pt>
                  <c:pt idx="14">
                    <c:v>0</c:v>
                  </c:pt>
                  <c:pt idx="15">
                    <c:v>0</c:v>
                  </c:pt>
                  <c:pt idx="16">
                    <c:v>0</c:v>
                  </c:pt>
                  <c:pt idx="17">
                    <c:v>0</c:v>
                  </c:pt>
                  <c:pt idx="18">
                    <c:v>0</c:v>
                  </c:pt>
                  <c:pt idx="19">
                    <c:v>0</c:v>
                  </c:pt>
                  <c:pt idx="20">
                    <c:v>0</c:v>
                  </c:pt>
                </c:numCache>
              </c:numRef>
            </c:plus>
            <c:minus>
              <c:numRef>
                <c:f>'R9.K.Ds.pad'!$N$25:$N$45</c:f>
                <c:numCache>
                  <c:formatCode>General</c:formatCode>
                  <c:ptCount val="21"/>
                  <c:pt idx="0">
                    <c:v>2.8332477005188039E-2</c:v>
                  </c:pt>
                  <c:pt idx="1">
                    <c:v>2.8389938481257815E-2</c:v>
                  </c:pt>
                  <c:pt idx="2">
                    <c:v>2.8694876863601948E-2</c:v>
                  </c:pt>
                  <c:pt idx="3">
                    <c:v>2.9182752296648573E-2</c:v>
                  </c:pt>
                  <c:pt idx="4">
                    <c:v>2.9138869067553586E-2</c:v>
                  </c:pt>
                  <c:pt idx="5">
                    <c:v>3.0310197447430909E-2</c:v>
                  </c:pt>
                  <c:pt idx="6">
                    <c:v>2.8818136731342037E-2</c:v>
                  </c:pt>
                  <c:pt idx="7">
                    <c:v>3.0689631872443002E-2</c:v>
                  </c:pt>
                  <c:pt idx="8">
                    <c:v>2.7994291819098294E-2</c:v>
                  </c:pt>
                  <c:pt idx="9">
                    <c:v>2.8283493769070134E-2</c:v>
                  </c:pt>
                  <c:pt idx="10">
                    <c:v>2.8076359669968909E-2</c:v>
                  </c:pt>
                  <c:pt idx="11">
                    <c:v>0</c:v>
                  </c:pt>
                  <c:pt idx="12">
                    <c:v>0</c:v>
                  </c:pt>
                  <c:pt idx="13">
                    <c:v>0</c:v>
                  </c:pt>
                  <c:pt idx="14">
                    <c:v>0</c:v>
                  </c:pt>
                  <c:pt idx="15">
                    <c:v>0</c:v>
                  </c:pt>
                  <c:pt idx="16">
                    <c:v>0</c:v>
                  </c:pt>
                  <c:pt idx="17">
                    <c:v>0</c:v>
                  </c:pt>
                  <c:pt idx="18">
                    <c:v>0</c:v>
                  </c:pt>
                  <c:pt idx="19">
                    <c:v>0</c:v>
                  </c:pt>
                  <c:pt idx="20">
                    <c:v>0</c:v>
                  </c:pt>
                </c:numCache>
              </c:numRef>
            </c:minus>
            <c:spPr>
              <a:noFill/>
              <a:ln w="9525" cap="flat" cmpd="sng" algn="ctr">
                <a:solidFill>
                  <a:schemeClr val="tx1">
                    <a:lumMod val="65000"/>
                    <a:lumOff val="35000"/>
                  </a:schemeClr>
                </a:solidFill>
                <a:round/>
              </a:ln>
              <a:effectLst/>
            </c:spPr>
          </c:errBars>
          <c:xVal>
            <c:numRef>
              <c:f>'R9.K.Ds.pad'!$I$25:$I$45</c:f>
              <c:numCache>
                <c:formatCode>#,##0.00</c:formatCode>
                <c:ptCount val="2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</c:numCache>
            </c:numRef>
          </c:xVal>
          <c:yVal>
            <c:numRef>
              <c:f>'R9.K.Ds.pad'!$K$25:$K$45</c:f>
              <c:numCache>
                <c:formatCode>#,##0.0000</c:formatCode>
                <c:ptCount val="21"/>
                <c:pt idx="0">
                  <c:v>9.3523012962366128</c:v>
                </c:pt>
                <c:pt idx="1">
                  <c:v>9.4385773794094767</c:v>
                </c:pt>
                <c:pt idx="2">
                  <c:v>9.4373054670211118</c:v>
                </c:pt>
                <c:pt idx="3">
                  <c:v>9.4781925693168194</c:v>
                </c:pt>
                <c:pt idx="4">
                  <c:v>9.4923368876695768</c:v>
                </c:pt>
                <c:pt idx="5">
                  <c:v>9.489761764665559</c:v>
                </c:pt>
                <c:pt idx="6">
                  <c:v>9.4500413847085856</c:v>
                </c:pt>
                <c:pt idx="7">
                  <c:v>9.3873605769975015</c:v>
                </c:pt>
                <c:pt idx="8">
                  <c:v>9.2940806848795994</c:v>
                </c:pt>
                <c:pt idx="9">
                  <c:v>9.1967420857030309</c:v>
                </c:pt>
                <c:pt idx="10">
                  <c:v>9.0827443711687703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E9F9-4E51-90C9-33ED0987DA53}"/>
            </c:ext>
          </c:extLst>
        </c:ser>
        <c:ser>
          <c:idx val="2"/>
          <c:order val="2"/>
          <c:tx>
            <c:strRef>
              <c:f>'R9.K.Ds.pad'!$A$46</c:f>
              <c:strCache>
                <c:ptCount val="1"/>
                <c:pt idx="0">
                  <c:v>Codebook 3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errBars>
            <c:errDir val="x"/>
            <c:errBarType val="both"/>
            <c:errValType val="stdErr"/>
            <c:noEndCap val="0"/>
            <c:spPr>
              <a:noFill/>
              <a:ln w="9525" cap="flat" cmpd="sng" algn="ctr">
                <a:noFill/>
                <a:round/>
              </a:ln>
              <a:effectLst/>
            </c:spPr>
          </c:errBars>
          <c:errBars>
            <c:errDir val="y"/>
            <c:errBarType val="both"/>
            <c:errValType val="cust"/>
            <c:noEndCap val="0"/>
            <c:plus>
              <c:numRef>
                <c:f>'R9.K.Ds.pad'!$O$47:$O$67</c:f>
                <c:numCache>
                  <c:formatCode>General</c:formatCode>
                  <c:ptCount val="21"/>
                  <c:pt idx="0">
                    <c:v>2.6552637865195905E-2</c:v>
                  </c:pt>
                  <c:pt idx="1">
                    <c:v>2.6983244980957721E-2</c:v>
                  </c:pt>
                  <c:pt idx="2">
                    <c:v>2.7778748296631406E-2</c:v>
                  </c:pt>
                  <c:pt idx="3">
                    <c:v>2.7859337960853381E-2</c:v>
                  </c:pt>
                  <c:pt idx="4">
                    <c:v>2.7659946153047343E-2</c:v>
                  </c:pt>
                  <c:pt idx="5">
                    <c:v>2.8297553641294826E-2</c:v>
                  </c:pt>
                  <c:pt idx="6">
                    <c:v>2.7510998429427502E-2</c:v>
                  </c:pt>
                  <c:pt idx="7">
                    <c:v>2.7013898854926666E-2</c:v>
                  </c:pt>
                  <c:pt idx="8">
                    <c:v>2.6208244172138961E-2</c:v>
                  </c:pt>
                  <c:pt idx="9">
                    <c:v>2.627115606013497E-2</c:v>
                  </c:pt>
                  <c:pt idx="10">
                    <c:v>2.5945476860785632E-2</c:v>
                  </c:pt>
                  <c:pt idx="11">
                    <c:v>0</c:v>
                  </c:pt>
                  <c:pt idx="12">
                    <c:v>0</c:v>
                  </c:pt>
                  <c:pt idx="13">
                    <c:v>0</c:v>
                  </c:pt>
                  <c:pt idx="14">
                    <c:v>0</c:v>
                  </c:pt>
                  <c:pt idx="15">
                    <c:v>0</c:v>
                  </c:pt>
                  <c:pt idx="16">
                    <c:v>0</c:v>
                  </c:pt>
                  <c:pt idx="17">
                    <c:v>0</c:v>
                  </c:pt>
                  <c:pt idx="18">
                    <c:v>0</c:v>
                  </c:pt>
                  <c:pt idx="19">
                    <c:v>0</c:v>
                  </c:pt>
                  <c:pt idx="20">
                    <c:v>0</c:v>
                  </c:pt>
                </c:numCache>
              </c:numRef>
            </c:plus>
            <c:minus>
              <c:numRef>
                <c:f>'R9.K.Ds.pad'!$N$47:$N$67</c:f>
                <c:numCache>
                  <c:formatCode>General</c:formatCode>
                  <c:ptCount val="21"/>
                  <c:pt idx="0">
                    <c:v>2.6391281838741065E-2</c:v>
                  </c:pt>
                  <c:pt idx="1">
                    <c:v>2.6816629464082808E-2</c:v>
                  </c:pt>
                  <c:pt idx="2">
                    <c:v>2.76021959609416E-2</c:v>
                  </c:pt>
                  <c:pt idx="3">
                    <c:v>2.7681763008633453E-2</c:v>
                  </c:pt>
                  <c:pt idx="4">
                    <c:v>2.7484895967585743E-2</c:v>
                  </c:pt>
                  <c:pt idx="5">
                    <c:v>2.8114366741492702E-2</c:v>
                  </c:pt>
                  <c:pt idx="6">
                    <c:v>2.7337822549075241E-2</c:v>
                  </c:pt>
                  <c:pt idx="7">
                    <c:v>2.6846905731572335E-2</c:v>
                  </c:pt>
                  <c:pt idx="8">
                    <c:v>2.6051034270764717E-2</c:v>
                  </c:pt>
                  <c:pt idx="9">
                    <c:v>2.6113192772431404E-2</c:v>
                  </c:pt>
                  <c:pt idx="10">
                    <c:v>2.5791394312957294E-2</c:v>
                  </c:pt>
                  <c:pt idx="11">
                    <c:v>0</c:v>
                  </c:pt>
                  <c:pt idx="12">
                    <c:v>0</c:v>
                  </c:pt>
                  <c:pt idx="13">
                    <c:v>0</c:v>
                  </c:pt>
                  <c:pt idx="14">
                    <c:v>0</c:v>
                  </c:pt>
                  <c:pt idx="15">
                    <c:v>0</c:v>
                  </c:pt>
                  <c:pt idx="16">
                    <c:v>0</c:v>
                  </c:pt>
                  <c:pt idx="17">
                    <c:v>0</c:v>
                  </c:pt>
                  <c:pt idx="18">
                    <c:v>0</c:v>
                  </c:pt>
                  <c:pt idx="19">
                    <c:v>0</c:v>
                  </c:pt>
                  <c:pt idx="20">
                    <c:v>0</c:v>
                  </c:pt>
                </c:numCache>
              </c:numRef>
            </c:minus>
            <c:spPr>
              <a:noFill/>
              <a:ln w="9525" cap="flat" cmpd="sng" algn="ctr">
                <a:solidFill>
                  <a:schemeClr val="tx1">
                    <a:lumMod val="65000"/>
                    <a:lumOff val="35000"/>
                  </a:schemeClr>
                </a:solidFill>
                <a:round/>
              </a:ln>
              <a:effectLst/>
            </c:spPr>
          </c:errBars>
          <c:xVal>
            <c:numRef>
              <c:f>'R9.K.Ds.pad'!$I$47:$I$67</c:f>
              <c:numCache>
                <c:formatCode>#,##0.00</c:formatCode>
                <c:ptCount val="2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</c:numCache>
            </c:numRef>
          </c:xVal>
          <c:yVal>
            <c:numRef>
              <c:f>'R9.K.Ds.pad'!$K$47:$K$67</c:f>
              <c:numCache>
                <c:formatCode>#,##0.0000</c:formatCode>
                <c:ptCount val="21"/>
                <c:pt idx="0">
                  <c:v>8.2739706879014001</c:v>
                </c:pt>
                <c:pt idx="1">
                  <c:v>8.3140431535005863</c:v>
                </c:pt>
                <c:pt idx="2">
                  <c:v>8.3619283385283012</c:v>
                </c:pt>
                <c:pt idx="3">
                  <c:v>8.3938142760052621</c:v>
                </c:pt>
                <c:pt idx="4">
                  <c:v>8.3748537790781477</c:v>
                </c:pt>
                <c:pt idx="5">
                  <c:v>8.3988176692073218</c:v>
                </c:pt>
                <c:pt idx="6">
                  <c:v>8.3758496389355344</c:v>
                </c:pt>
                <c:pt idx="7">
                  <c:v>8.3263342830580402</c:v>
                </c:pt>
                <c:pt idx="8">
                  <c:v>8.2497164931800953</c:v>
                </c:pt>
                <c:pt idx="9">
                  <c:v>8.1810879465680202</c:v>
                </c:pt>
                <c:pt idx="10">
                  <c:v>8.0808345383450657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E9F9-4E51-90C9-33ED0987DA53}"/>
            </c:ext>
          </c:extLst>
        </c:ser>
        <c:ser>
          <c:idx val="3"/>
          <c:order val="3"/>
          <c:tx>
            <c:strRef>
              <c:f>'R9.K.Ds.pad'!$A$68</c:f>
              <c:strCache>
                <c:ptCount val="1"/>
                <c:pt idx="0">
                  <c:v>Codebook 4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errBars>
            <c:errDir val="x"/>
            <c:errBarType val="both"/>
            <c:errValType val="stdErr"/>
            <c:noEndCap val="0"/>
            <c:spPr>
              <a:noFill/>
              <a:ln w="9525" cap="flat" cmpd="sng" algn="ctr">
                <a:noFill/>
                <a:round/>
              </a:ln>
              <a:effectLst/>
            </c:spPr>
          </c:errBars>
          <c:errBars>
            <c:errDir val="y"/>
            <c:errBarType val="both"/>
            <c:errValType val="cust"/>
            <c:noEndCap val="0"/>
            <c:plus>
              <c:numRef>
                <c:f>'R9.K.Ds.pad'!$O$69:$O$89</c:f>
                <c:numCache>
                  <c:formatCode>General</c:formatCode>
                  <c:ptCount val="21"/>
                  <c:pt idx="0">
                    <c:v>4.1957482866735063E-2</c:v>
                  </c:pt>
                  <c:pt idx="1">
                    <c:v>4.9892890917488941E-2</c:v>
                  </c:pt>
                  <c:pt idx="2">
                    <c:v>4.6306048687446477E-2</c:v>
                  </c:pt>
                  <c:pt idx="3">
                    <c:v>4.9463248790344139E-2</c:v>
                  </c:pt>
                  <c:pt idx="4">
                    <c:v>5.002073876003621E-2</c:v>
                  </c:pt>
                  <c:pt idx="5">
                    <c:v>4.3169160439171961E-2</c:v>
                  </c:pt>
                  <c:pt idx="6">
                    <c:v>4.6115290892727145E-2</c:v>
                  </c:pt>
                  <c:pt idx="7">
                    <c:v>4.7208141199671871E-2</c:v>
                  </c:pt>
                  <c:pt idx="8">
                    <c:v>4.5511900311391074E-2</c:v>
                  </c:pt>
                  <c:pt idx="9">
                    <c:v>4.5039464698650278E-2</c:v>
                  </c:pt>
                  <c:pt idx="10">
                    <c:v>4.1805230953928074E-2</c:v>
                  </c:pt>
                  <c:pt idx="11">
                    <c:v>0</c:v>
                  </c:pt>
                  <c:pt idx="12">
                    <c:v>0</c:v>
                  </c:pt>
                  <c:pt idx="13">
                    <c:v>0</c:v>
                  </c:pt>
                  <c:pt idx="14">
                    <c:v>0</c:v>
                  </c:pt>
                  <c:pt idx="15">
                    <c:v>0</c:v>
                  </c:pt>
                  <c:pt idx="16">
                    <c:v>0</c:v>
                  </c:pt>
                  <c:pt idx="17">
                    <c:v>0</c:v>
                  </c:pt>
                  <c:pt idx="18">
                    <c:v>0</c:v>
                  </c:pt>
                  <c:pt idx="19">
                    <c:v>0</c:v>
                  </c:pt>
                  <c:pt idx="20">
                    <c:v>0</c:v>
                  </c:pt>
                </c:numCache>
              </c:numRef>
            </c:plus>
            <c:minus>
              <c:numRef>
                <c:f>'R9.K.Ds.pad'!$N$69:$N$89</c:f>
                <c:numCache>
                  <c:formatCode>General</c:formatCode>
                  <c:ptCount val="21"/>
                  <c:pt idx="0">
                    <c:v>4.1556004411976488E-2</c:v>
                  </c:pt>
                  <c:pt idx="1">
                    <c:v>4.9326212271838088E-2</c:v>
                  </c:pt>
                  <c:pt idx="2">
                    <c:v>4.5817521123717952E-2</c:v>
                  </c:pt>
                  <c:pt idx="3">
                    <c:v>4.8906233413317679E-2</c:v>
                  </c:pt>
                  <c:pt idx="4">
                    <c:v>4.9451168772094434E-2</c:v>
                  </c:pt>
                  <c:pt idx="5">
                    <c:v>4.2744276027720574E-2</c:v>
                  </c:pt>
                  <c:pt idx="6">
                    <c:v>4.5630758996415111E-2</c:v>
                  </c:pt>
                  <c:pt idx="7">
                    <c:v>4.6700498279141911E-2</c:v>
                  </c:pt>
                  <c:pt idx="8">
                    <c:v>4.503990029692595E-2</c:v>
                  </c:pt>
                  <c:pt idx="9">
                    <c:v>4.4577163318530566E-2</c:v>
                  </c:pt>
                  <c:pt idx="10">
                    <c:v>4.1406647099861971E-2</c:v>
                  </c:pt>
                  <c:pt idx="11">
                    <c:v>0</c:v>
                  </c:pt>
                  <c:pt idx="12">
                    <c:v>0</c:v>
                  </c:pt>
                  <c:pt idx="13">
                    <c:v>0</c:v>
                  </c:pt>
                  <c:pt idx="14">
                    <c:v>0</c:v>
                  </c:pt>
                  <c:pt idx="15">
                    <c:v>0</c:v>
                  </c:pt>
                  <c:pt idx="16">
                    <c:v>0</c:v>
                  </c:pt>
                  <c:pt idx="17">
                    <c:v>0</c:v>
                  </c:pt>
                  <c:pt idx="18">
                    <c:v>0</c:v>
                  </c:pt>
                  <c:pt idx="19">
                    <c:v>0</c:v>
                  </c:pt>
                  <c:pt idx="20">
                    <c:v>0</c:v>
                  </c:pt>
                </c:numCache>
              </c:numRef>
            </c:minus>
            <c:spPr>
              <a:noFill/>
              <a:ln w="9525" cap="flat" cmpd="sng" algn="ctr">
                <a:solidFill>
                  <a:schemeClr val="tx1">
                    <a:lumMod val="65000"/>
                    <a:lumOff val="35000"/>
                  </a:schemeClr>
                </a:solidFill>
                <a:round/>
              </a:ln>
              <a:effectLst/>
            </c:spPr>
          </c:errBars>
          <c:xVal>
            <c:numRef>
              <c:f>'R9.K.Ds.pad'!$I$69:$I$89</c:f>
              <c:numCache>
                <c:formatCode>#,##0.00</c:formatCode>
                <c:ptCount val="2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</c:numCache>
            </c:numRef>
          </c:xVal>
          <c:yVal>
            <c:numRef>
              <c:f>'R9.K.Ds.pad'!$K$69:$K$89</c:f>
              <c:numCache>
                <c:formatCode>#,##0.0000</c:formatCode>
                <c:ptCount val="21"/>
                <c:pt idx="0">
                  <c:v>9.4474912115178498</c:v>
                </c:pt>
                <c:pt idx="1">
                  <c:v>9.4570620920953257</c:v>
                </c:pt>
                <c:pt idx="2">
                  <c:v>9.5149345850777429</c:v>
                </c:pt>
                <c:pt idx="3">
                  <c:v>9.5214127259254333</c:v>
                </c:pt>
                <c:pt idx="4">
                  <c:v>9.5591777014479966</c:v>
                </c:pt>
                <c:pt idx="5">
                  <c:v>9.5808121607131778</c:v>
                </c:pt>
                <c:pt idx="6">
                  <c:v>9.5084660929390878</c:v>
                </c:pt>
                <c:pt idx="7">
                  <c:v>9.4385773794094767</c:v>
                </c:pt>
                <c:pt idx="8">
                  <c:v>9.3410920834262718</c:v>
                </c:pt>
                <c:pt idx="9">
                  <c:v>9.2299567320664959</c:v>
                </c:pt>
                <c:pt idx="10">
                  <c:v>9.1417446647925686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E9F9-4E51-90C9-33ED0987DA5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78679920"/>
        <c:axId val="802641424"/>
      </c:scatterChart>
      <c:valAx>
        <c:axId val="578679920"/>
        <c:scaling>
          <c:orientation val="minMax"/>
          <c:max val="10"/>
          <c:min val="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AU" baseline="0"/>
                  <a:t>Padding length </a:t>
                </a:r>
                <a:endParaRPr lang="en-AU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#,##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02641424"/>
        <c:crosses val="autoZero"/>
        <c:crossBetween val="midCat"/>
        <c:majorUnit val="2"/>
        <c:minorUnit val="1"/>
      </c:valAx>
      <c:valAx>
        <c:axId val="802641424"/>
        <c:scaling>
          <c:orientation val="minMax"/>
          <c:max val="9.8000000000000007"/>
          <c:min val="7.8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AU"/>
                  <a:t>Q</a:t>
                </a:r>
                <a:r>
                  <a:rPr lang="en-AU" baseline="0"/>
                  <a:t>uality score, </a:t>
                </a:r>
                <a:r>
                  <a:rPr lang="en-AU" i="1" baseline="0"/>
                  <a:t>Q</a:t>
                </a:r>
                <a:endParaRPr lang="en-AU" i="1"/>
              </a:p>
            </c:rich>
          </c:tx>
          <c:layout>
            <c:manualLayout>
              <c:xMode val="edge"/>
              <c:yMode val="edge"/>
              <c:x val="1.2630035540302917E-2"/>
              <c:y val="0.3506217297161231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#,##0.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78679920"/>
        <c:crosses val="autoZero"/>
        <c:crossBetween val="midCat"/>
        <c:majorUnit val="0.2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7715254705504232"/>
          <c:y val="0.34878351652668288"/>
          <c:w val="0.21228217619277828"/>
          <c:h val="0.3436151953612574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6350" cap="flat" cmpd="sng" algn="ctr">
      <a:solidFill>
        <a:schemeClr val="tx1"/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AU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Quality score vs. </a:t>
            </a:r>
            <a:r>
              <a:rPr lang="en-AU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cs typeface="Times New Roman" panose="02020603050405020304" pitchFamily="18" charset="0"/>
              </a:rPr>
              <a:t>Pad-length : Dorado R10 'sup'</a:t>
            </a:r>
            <a:endParaRPr lang="en-AU" sz="1400" b="0" i="0" u="none" strike="noStrike" kern="1200" spc="0" baseline="0">
              <a:solidFill>
                <a:sysClr val="windowText" lastClr="000000">
                  <a:lumMod val="65000"/>
                  <a:lumOff val="35000"/>
                </a:sysClr>
              </a:solidFill>
            </a:endParaRPr>
          </a:p>
        </c:rich>
      </c:tx>
      <c:layout>
        <c:manualLayout>
          <c:xMode val="edge"/>
          <c:yMode val="edge"/>
          <c:x val="0.14854549397572026"/>
          <c:y val="3.2615699591851961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1368158226066076"/>
          <c:y val="0.15826550596557501"/>
          <c:w val="0.66061018822016926"/>
          <c:h val="0.65642128030386226"/>
        </c:manualLayout>
      </c:layout>
      <c:scatterChart>
        <c:scatterStyle val="lineMarker"/>
        <c:varyColors val="0"/>
        <c:ser>
          <c:idx val="1"/>
          <c:order val="0"/>
          <c:tx>
            <c:strRef>
              <c:f>'R10.K.Ds.pad'!$A$2</c:f>
              <c:strCache>
                <c:ptCount val="1"/>
                <c:pt idx="0">
                  <c:v>Codebook 1</c:v>
                </c:pt>
              </c:strCache>
            </c:strRef>
          </c:tx>
          <c:spPr>
            <a:ln w="19050" cap="rnd">
              <a:solidFill>
                <a:srgbClr val="FF0000"/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rgbClr val="FF0000"/>
              </a:solidFill>
              <a:ln w="9525">
                <a:solidFill>
                  <a:srgbClr val="FF0000"/>
                </a:solidFill>
              </a:ln>
              <a:effectLst/>
            </c:spPr>
          </c:marker>
          <c:errBars>
            <c:errDir val="x"/>
            <c:errBarType val="both"/>
            <c:errValType val="stdErr"/>
            <c:noEndCap val="0"/>
            <c:spPr>
              <a:noFill/>
              <a:ln w="9525" cap="flat" cmpd="sng" algn="ctr">
                <a:noFill/>
                <a:round/>
              </a:ln>
              <a:effectLst/>
            </c:spPr>
          </c:errBars>
          <c:errBars>
            <c:errDir val="y"/>
            <c:errBarType val="both"/>
            <c:errValType val="cust"/>
            <c:noEndCap val="0"/>
            <c:plus>
              <c:numRef>
                <c:f>'R10.K.Ds.pad'!$O$3:$O$23</c:f>
                <c:numCache>
                  <c:formatCode>General</c:formatCode>
                  <c:ptCount val="21"/>
                  <c:pt idx="0">
                    <c:v>2.1378607359873847E-2</c:v>
                  </c:pt>
                  <c:pt idx="1">
                    <c:v>2.1601150157271043E-2</c:v>
                  </c:pt>
                  <c:pt idx="2">
                    <c:v>2.1326846659259324E-2</c:v>
                  </c:pt>
                  <c:pt idx="3">
                    <c:v>2.2269800585415389E-2</c:v>
                  </c:pt>
                  <c:pt idx="4">
                    <c:v>2.2072499686371039E-2</c:v>
                  </c:pt>
                  <c:pt idx="5">
                    <c:v>2.2345252334419641E-2</c:v>
                  </c:pt>
                  <c:pt idx="6">
                    <c:v>2.1003262129375422E-2</c:v>
                  </c:pt>
                  <c:pt idx="7">
                    <c:v>2.1179150684723425E-2</c:v>
                  </c:pt>
                  <c:pt idx="8">
                    <c:v>2.159184284482496E-2</c:v>
                  </c:pt>
                  <c:pt idx="9">
                    <c:v>2.1122022867247736E-2</c:v>
                  </c:pt>
                  <c:pt idx="10">
                    <c:v>2.1207838219722497E-2</c:v>
                  </c:pt>
                  <c:pt idx="11">
                    <c:v>0</c:v>
                  </c:pt>
                  <c:pt idx="12">
                    <c:v>0</c:v>
                  </c:pt>
                  <c:pt idx="13">
                    <c:v>0</c:v>
                  </c:pt>
                  <c:pt idx="14">
                    <c:v>0</c:v>
                  </c:pt>
                  <c:pt idx="15">
                    <c:v>0</c:v>
                  </c:pt>
                  <c:pt idx="16">
                    <c:v>0</c:v>
                  </c:pt>
                  <c:pt idx="17">
                    <c:v>0</c:v>
                  </c:pt>
                  <c:pt idx="18">
                    <c:v>0</c:v>
                  </c:pt>
                  <c:pt idx="19">
                    <c:v>0</c:v>
                  </c:pt>
                  <c:pt idx="20">
                    <c:v>0</c:v>
                  </c:pt>
                </c:numCache>
              </c:numRef>
            </c:plus>
            <c:minus>
              <c:numRef>
                <c:f>'R10.K.Ds.pad'!$N$3:$N$23</c:f>
                <c:numCache>
                  <c:formatCode>General</c:formatCode>
                  <c:ptCount val="21"/>
                  <c:pt idx="0">
                    <c:v>2.127388419389753E-2</c:v>
                  </c:pt>
                  <c:pt idx="1">
                    <c:v>2.1494240837520273E-2</c:v>
                  </c:pt>
                  <c:pt idx="2">
                    <c:v>2.1222628744248517E-2</c:v>
                  </c:pt>
                  <c:pt idx="3">
                    <c:v>2.2156187593387777E-2</c:v>
                  </c:pt>
                  <c:pt idx="4">
                    <c:v>2.1960885861046719E-2</c:v>
                  </c:pt>
                  <c:pt idx="5">
                    <c:v>2.223087015499825E-2</c:v>
                  </c:pt>
                  <c:pt idx="6">
                    <c:v>2.0902175254963851E-2</c:v>
                  </c:pt>
                  <c:pt idx="7">
                    <c:v>2.107636778781341E-2</c:v>
                  </c:pt>
                  <c:pt idx="8">
                    <c:v>2.1485025405911351E-2</c:v>
                  </c:pt>
                  <c:pt idx="9">
                    <c:v>2.1019792370537971E-2</c:v>
                  </c:pt>
                  <c:pt idx="10">
                    <c:v>2.1104777368647021E-2</c:v>
                  </c:pt>
                  <c:pt idx="11">
                    <c:v>0</c:v>
                  </c:pt>
                  <c:pt idx="12">
                    <c:v>0</c:v>
                  </c:pt>
                  <c:pt idx="13">
                    <c:v>0</c:v>
                  </c:pt>
                  <c:pt idx="14">
                    <c:v>0</c:v>
                  </c:pt>
                  <c:pt idx="15">
                    <c:v>0</c:v>
                  </c:pt>
                  <c:pt idx="16">
                    <c:v>0</c:v>
                  </c:pt>
                  <c:pt idx="17">
                    <c:v>0</c:v>
                  </c:pt>
                  <c:pt idx="18">
                    <c:v>0</c:v>
                  </c:pt>
                  <c:pt idx="19">
                    <c:v>0</c:v>
                  </c:pt>
                  <c:pt idx="20">
                    <c:v>0</c:v>
                  </c:pt>
                </c:numCache>
              </c:numRef>
            </c:minus>
            <c:spPr>
              <a:noFill/>
              <a:ln w="9525" cap="flat" cmpd="sng" algn="ctr">
                <a:solidFill>
                  <a:schemeClr val="tx1">
                    <a:lumMod val="65000"/>
                    <a:lumOff val="35000"/>
                  </a:schemeClr>
                </a:solidFill>
                <a:round/>
              </a:ln>
              <a:effectLst/>
            </c:spPr>
          </c:errBars>
          <c:xVal>
            <c:numRef>
              <c:f>'R10.K.Ds.pad'!$I$3:$I$23</c:f>
              <c:numCache>
                <c:formatCode>#,##0.00</c:formatCode>
                <c:ptCount val="2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</c:numCache>
            </c:numRef>
          </c:xVal>
          <c:yVal>
            <c:numRef>
              <c:f>'R10.K.Ds.pad'!$K$3:$K$23</c:f>
              <c:numCache>
                <c:formatCode>#,##0.0000</c:formatCode>
                <c:ptCount val="21"/>
                <c:pt idx="0">
                  <c:v>5.9693670189322905</c:v>
                </c:pt>
                <c:pt idx="1">
                  <c:v>6.0070132941181873</c:v>
                </c:pt>
                <c:pt idx="2">
                  <c:v>6.0243654307494845</c:v>
                </c:pt>
                <c:pt idx="3">
                  <c:v>6.0287143194125932</c:v>
                </c:pt>
                <c:pt idx="4">
                  <c:v>6.0290044002208383</c:v>
                </c:pt>
                <c:pt idx="5">
                  <c:v>6.0240756596188323</c:v>
                </c:pt>
                <c:pt idx="6">
                  <c:v>6.0470273563932917</c:v>
                </c:pt>
                <c:pt idx="7">
                  <c:v>6.0403326912937674</c:v>
                </c:pt>
                <c:pt idx="8">
                  <c:v>6.0522738675509888</c:v>
                </c:pt>
                <c:pt idx="9">
                  <c:v>6.0156806961815033</c:v>
                </c:pt>
                <c:pt idx="10">
                  <c:v>6.0148131771549407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F077-4B62-B22B-034401845AAB}"/>
            </c:ext>
          </c:extLst>
        </c:ser>
        <c:ser>
          <c:idx val="0"/>
          <c:order val="1"/>
          <c:tx>
            <c:strRef>
              <c:f>'R10.K.Ds.pad'!$A$24</c:f>
              <c:strCache>
                <c:ptCount val="1"/>
                <c:pt idx="0">
                  <c:v>Codebook 2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errBars>
            <c:errDir val="x"/>
            <c:errBarType val="both"/>
            <c:errValType val="stdErr"/>
            <c:noEndCap val="0"/>
            <c:spPr>
              <a:noFill/>
              <a:ln w="9525" cap="flat" cmpd="sng" algn="ctr">
                <a:noFill/>
                <a:round/>
              </a:ln>
              <a:effectLst/>
            </c:spPr>
          </c:errBars>
          <c:errBars>
            <c:errDir val="y"/>
            <c:errBarType val="both"/>
            <c:errValType val="cust"/>
            <c:noEndCap val="0"/>
            <c:plus>
              <c:numRef>
                <c:f>'R10.K.Ds.pad'!$O$25:$O$45</c:f>
                <c:numCache>
                  <c:formatCode>General</c:formatCode>
                  <c:ptCount val="21"/>
                  <c:pt idx="0">
                    <c:v>1.4116511395059206E-2</c:v>
                  </c:pt>
                  <c:pt idx="1">
                    <c:v>1.4538459149443739E-2</c:v>
                  </c:pt>
                  <c:pt idx="2">
                    <c:v>1.4024441762482631E-2</c:v>
                  </c:pt>
                  <c:pt idx="3">
                    <c:v>1.4420162542966075E-2</c:v>
                  </c:pt>
                  <c:pt idx="4">
                    <c:v>1.4679989032873486E-2</c:v>
                  </c:pt>
                  <c:pt idx="5">
                    <c:v>1.4363443021249367E-2</c:v>
                  </c:pt>
                  <c:pt idx="6">
                    <c:v>1.4459703759420073E-2</c:v>
                  </c:pt>
                  <c:pt idx="7">
                    <c:v>1.4587949031672487E-2</c:v>
                  </c:pt>
                  <c:pt idx="8">
                    <c:v>1.4625795982817102E-2</c:v>
                  </c:pt>
                  <c:pt idx="9">
                    <c:v>1.4618222938155512E-2</c:v>
                  </c:pt>
                  <c:pt idx="10">
                    <c:v>1.4345402143005614E-2</c:v>
                  </c:pt>
                  <c:pt idx="11">
                    <c:v>0</c:v>
                  </c:pt>
                  <c:pt idx="12">
                    <c:v>0</c:v>
                  </c:pt>
                  <c:pt idx="13">
                    <c:v>0</c:v>
                  </c:pt>
                  <c:pt idx="14">
                    <c:v>0</c:v>
                  </c:pt>
                  <c:pt idx="15">
                    <c:v>0</c:v>
                  </c:pt>
                  <c:pt idx="16">
                    <c:v>0</c:v>
                  </c:pt>
                  <c:pt idx="17">
                    <c:v>0</c:v>
                  </c:pt>
                  <c:pt idx="18">
                    <c:v>0</c:v>
                  </c:pt>
                  <c:pt idx="19">
                    <c:v>0</c:v>
                  </c:pt>
                  <c:pt idx="20">
                    <c:v>0</c:v>
                  </c:pt>
                </c:numCache>
              </c:numRef>
            </c:plus>
            <c:minus>
              <c:numRef>
                <c:f>'R10.K.Ds.pad'!$N$25:$N$45</c:f>
                <c:numCache>
                  <c:formatCode>General</c:formatCode>
                  <c:ptCount val="21"/>
                  <c:pt idx="0">
                    <c:v>1.4070775048202755E-2</c:v>
                  </c:pt>
                  <c:pt idx="1">
                    <c:v>1.4489952482401591E-2</c:v>
                  </c:pt>
                  <c:pt idx="2">
                    <c:v>1.3979299112901522E-2</c:v>
                  </c:pt>
                  <c:pt idx="3">
                    <c:v>1.4372440748159576E-2</c:v>
                  </c:pt>
                  <c:pt idx="4">
                    <c:v>1.4630534962982722E-2</c:v>
                  </c:pt>
                  <c:pt idx="5">
                    <c:v>1.4316095285023422E-2</c:v>
                  </c:pt>
                  <c:pt idx="6">
                    <c:v>1.4411720327178301E-2</c:v>
                  </c:pt>
                  <c:pt idx="7">
                    <c:v>1.453911211706238E-2</c:v>
                  </c:pt>
                  <c:pt idx="8">
                    <c:v>1.4576705760799058E-2</c:v>
                  </c:pt>
                  <c:pt idx="9">
                    <c:v>1.4569183454339552E-2</c:v>
                  </c:pt>
                  <c:pt idx="10">
                    <c:v>1.4298173076756626E-2</c:v>
                  </c:pt>
                  <c:pt idx="11">
                    <c:v>0</c:v>
                  </c:pt>
                  <c:pt idx="12">
                    <c:v>0</c:v>
                  </c:pt>
                  <c:pt idx="13">
                    <c:v>0</c:v>
                  </c:pt>
                  <c:pt idx="14">
                    <c:v>0</c:v>
                  </c:pt>
                  <c:pt idx="15">
                    <c:v>0</c:v>
                  </c:pt>
                  <c:pt idx="16">
                    <c:v>0</c:v>
                  </c:pt>
                  <c:pt idx="17">
                    <c:v>0</c:v>
                  </c:pt>
                  <c:pt idx="18">
                    <c:v>0</c:v>
                  </c:pt>
                  <c:pt idx="19">
                    <c:v>0</c:v>
                  </c:pt>
                  <c:pt idx="20">
                    <c:v>0</c:v>
                  </c:pt>
                </c:numCache>
              </c:numRef>
            </c:minus>
            <c:spPr>
              <a:noFill/>
              <a:ln w="9525" cap="flat" cmpd="sng" algn="ctr">
                <a:solidFill>
                  <a:schemeClr val="tx1">
                    <a:lumMod val="65000"/>
                    <a:lumOff val="35000"/>
                  </a:schemeClr>
                </a:solidFill>
                <a:round/>
              </a:ln>
              <a:effectLst/>
            </c:spPr>
          </c:errBars>
          <c:xVal>
            <c:numRef>
              <c:f>'R10.K.Ds.pad'!$I$25:$I$45</c:f>
              <c:numCache>
                <c:formatCode>#,##0.00</c:formatCode>
                <c:ptCount val="2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</c:numCache>
            </c:numRef>
          </c:xVal>
          <c:yVal>
            <c:numRef>
              <c:f>'R10.K.Ds.pad'!$K$25:$K$45</c:f>
              <c:numCache>
                <c:formatCode>#,##0.0000</c:formatCode>
                <c:ptCount val="21"/>
                <c:pt idx="0">
                  <c:v>5.3052162970452974</c:v>
                </c:pt>
                <c:pt idx="1">
                  <c:v>5.335525490547762</c:v>
                </c:pt>
                <c:pt idx="2">
                  <c:v>5.3382464015300766</c:v>
                </c:pt>
                <c:pt idx="3">
                  <c:v>5.3253989049273613</c:v>
                </c:pt>
                <c:pt idx="4">
                  <c:v>5.3273729707881827</c:v>
                </c:pt>
                <c:pt idx="5">
                  <c:v>5.3407214371125562</c:v>
                </c:pt>
                <c:pt idx="6">
                  <c:v>5.3511320169734926</c:v>
                </c:pt>
                <c:pt idx="7">
                  <c:v>5.3456757438545255</c:v>
                </c:pt>
                <c:pt idx="8">
                  <c:v>5.3226860286638233</c:v>
                </c:pt>
                <c:pt idx="9">
                  <c:v>5.3113595985181217</c:v>
                </c:pt>
                <c:pt idx="10">
                  <c:v>5.312097379003891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F077-4B62-B22B-034401845AAB}"/>
            </c:ext>
          </c:extLst>
        </c:ser>
        <c:ser>
          <c:idx val="2"/>
          <c:order val="2"/>
          <c:tx>
            <c:strRef>
              <c:f>'R10.K.Ds.pad'!$A$46</c:f>
              <c:strCache>
                <c:ptCount val="1"/>
                <c:pt idx="0">
                  <c:v>Codebook 3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errBars>
            <c:errDir val="x"/>
            <c:errBarType val="both"/>
            <c:errValType val="stdErr"/>
            <c:noEndCap val="0"/>
            <c:spPr>
              <a:noFill/>
              <a:ln w="9525" cap="flat" cmpd="sng" algn="ctr">
                <a:noFill/>
                <a:round/>
              </a:ln>
              <a:effectLst/>
            </c:spPr>
          </c:errBars>
          <c:errBars>
            <c:errDir val="y"/>
            <c:errBarType val="both"/>
            <c:errValType val="cust"/>
            <c:noEndCap val="0"/>
            <c:plus>
              <c:numRef>
                <c:f>'R10.K.Ds.pad'!$O$47:$O$67</c:f>
                <c:numCache>
                  <c:formatCode>General</c:formatCode>
                  <c:ptCount val="21"/>
                  <c:pt idx="0">
                    <c:v>1.5158552513502066E-2</c:v>
                  </c:pt>
                  <c:pt idx="1">
                    <c:v>1.5336415484220822E-2</c:v>
                  </c:pt>
                  <c:pt idx="2">
                    <c:v>1.5166232717049866E-2</c:v>
                  </c:pt>
                  <c:pt idx="3">
                    <c:v>1.5688280910442387E-2</c:v>
                  </c:pt>
                  <c:pt idx="4">
                    <c:v>1.5522406129087507E-2</c:v>
                  </c:pt>
                  <c:pt idx="5">
                    <c:v>1.5313559118075304E-2</c:v>
                  </c:pt>
                  <c:pt idx="6">
                    <c:v>1.5646112794811096E-2</c:v>
                  </c:pt>
                  <c:pt idx="7">
                    <c:v>1.5543567787474899E-2</c:v>
                  </c:pt>
                  <c:pt idx="8">
                    <c:v>1.5512526215062827E-2</c:v>
                  </c:pt>
                  <c:pt idx="9">
                    <c:v>1.5135697926600855E-2</c:v>
                  </c:pt>
                  <c:pt idx="10">
                    <c:v>1.5242019283466135E-2</c:v>
                  </c:pt>
                  <c:pt idx="11">
                    <c:v>0</c:v>
                  </c:pt>
                  <c:pt idx="12">
                    <c:v>0</c:v>
                  </c:pt>
                  <c:pt idx="13">
                    <c:v>0</c:v>
                  </c:pt>
                  <c:pt idx="14">
                    <c:v>0</c:v>
                  </c:pt>
                  <c:pt idx="15">
                    <c:v>0</c:v>
                  </c:pt>
                  <c:pt idx="16">
                    <c:v>0</c:v>
                  </c:pt>
                  <c:pt idx="17">
                    <c:v>0</c:v>
                  </c:pt>
                  <c:pt idx="18">
                    <c:v>0</c:v>
                  </c:pt>
                  <c:pt idx="19">
                    <c:v>0</c:v>
                  </c:pt>
                  <c:pt idx="20">
                    <c:v>0</c:v>
                  </c:pt>
                </c:numCache>
              </c:numRef>
            </c:plus>
            <c:minus>
              <c:numRef>
                <c:f>'R10.K.Ds.pad'!$N$47:$N$67</c:f>
                <c:numCache>
                  <c:formatCode>General</c:formatCode>
                  <c:ptCount val="21"/>
                  <c:pt idx="0">
                    <c:v>1.5105827296501673E-2</c:v>
                  </c:pt>
                  <c:pt idx="1">
                    <c:v>1.5282447906187713E-2</c:v>
                  </c:pt>
                  <c:pt idx="2">
                    <c:v>1.511345415215537E-2</c:v>
                  </c:pt>
                  <c:pt idx="3">
                    <c:v>1.5631813110100978E-2</c:v>
                  </c:pt>
                  <c:pt idx="4">
                    <c:v>1.546712400024397E-2</c:v>
                  </c:pt>
                  <c:pt idx="5">
                    <c:v>1.5259751997483306E-2</c:v>
                  </c:pt>
                  <c:pt idx="6">
                    <c:v>1.5589947600075149E-2</c:v>
                  </c:pt>
                  <c:pt idx="7">
                    <c:v>1.5488135092883049E-2</c:v>
                  </c:pt>
                  <c:pt idx="8">
                    <c:v>1.5457314312195436E-2</c:v>
                  </c:pt>
                  <c:pt idx="9">
                    <c:v>1.5083131302117359E-2</c:v>
                  </c:pt>
                  <c:pt idx="10">
                    <c:v>1.5188712851858632E-2</c:v>
                  </c:pt>
                  <c:pt idx="11">
                    <c:v>0</c:v>
                  </c:pt>
                  <c:pt idx="12">
                    <c:v>0</c:v>
                  </c:pt>
                  <c:pt idx="13">
                    <c:v>0</c:v>
                  </c:pt>
                  <c:pt idx="14">
                    <c:v>0</c:v>
                  </c:pt>
                  <c:pt idx="15">
                    <c:v>0</c:v>
                  </c:pt>
                  <c:pt idx="16">
                    <c:v>0</c:v>
                  </c:pt>
                  <c:pt idx="17">
                    <c:v>0</c:v>
                  </c:pt>
                  <c:pt idx="18">
                    <c:v>0</c:v>
                  </c:pt>
                  <c:pt idx="19">
                    <c:v>0</c:v>
                  </c:pt>
                  <c:pt idx="20">
                    <c:v>0</c:v>
                  </c:pt>
                </c:numCache>
              </c:numRef>
            </c:minus>
            <c:spPr>
              <a:noFill/>
              <a:ln w="9525" cap="flat" cmpd="sng" algn="ctr">
                <a:solidFill>
                  <a:schemeClr val="tx1">
                    <a:lumMod val="65000"/>
                    <a:lumOff val="35000"/>
                  </a:schemeClr>
                </a:solidFill>
                <a:round/>
              </a:ln>
              <a:effectLst/>
            </c:spPr>
          </c:errBars>
          <c:xVal>
            <c:numRef>
              <c:f>'R10.K.Ds.pad'!$I$47:$I$67</c:f>
              <c:numCache>
                <c:formatCode>#,##0.00</c:formatCode>
                <c:ptCount val="2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</c:numCache>
            </c:numRef>
          </c:xVal>
          <c:yVal>
            <c:numRef>
              <c:f>'R10.K.Ds.pad'!$K$47:$K$67</c:f>
              <c:numCache>
                <c:formatCode>#,##0.0000</c:formatCode>
                <c:ptCount val="21"/>
                <c:pt idx="0">
                  <c:v>4.9720884438494544</c:v>
                </c:pt>
                <c:pt idx="1">
                  <c:v>4.9944336704566856</c:v>
                </c:pt>
                <c:pt idx="2">
                  <c:v>5.0047328777739004</c:v>
                </c:pt>
                <c:pt idx="3">
                  <c:v>5.0012970941351185</c:v>
                </c:pt>
                <c:pt idx="4">
                  <c:v>5.0226429008241782</c:v>
                </c:pt>
                <c:pt idx="5">
                  <c:v>5.0364702772776049</c:v>
                </c:pt>
                <c:pt idx="6">
                  <c:v>5.0152862618193597</c:v>
                </c:pt>
                <c:pt idx="7">
                  <c:v>5.032548048842842</c:v>
                </c:pt>
                <c:pt idx="8">
                  <c:v>5.0198827006450211</c:v>
                </c:pt>
                <c:pt idx="9">
                  <c:v>5.0143675575335198</c:v>
                </c:pt>
                <c:pt idx="10">
                  <c:v>5.0141379118248235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F077-4B62-B22B-034401845AAB}"/>
            </c:ext>
          </c:extLst>
        </c:ser>
        <c:ser>
          <c:idx val="3"/>
          <c:order val="3"/>
          <c:tx>
            <c:strRef>
              <c:f>'R10.K.Ds.pad'!$A$68</c:f>
              <c:strCache>
                <c:ptCount val="1"/>
                <c:pt idx="0">
                  <c:v>Codebook 4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2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errBars>
            <c:errDir val="x"/>
            <c:errBarType val="both"/>
            <c:errValType val="stdErr"/>
            <c:noEndCap val="0"/>
            <c:spPr>
              <a:noFill/>
              <a:ln w="9525" cap="flat" cmpd="sng" algn="ctr">
                <a:noFill/>
                <a:round/>
              </a:ln>
              <a:effectLst/>
            </c:spPr>
          </c:errBars>
          <c:errBars>
            <c:errDir val="y"/>
            <c:errBarType val="both"/>
            <c:errValType val="cust"/>
            <c:noEndCap val="0"/>
            <c:plus>
              <c:numRef>
                <c:f>'R10.K.Ds.pad'!$O$69:$O$89</c:f>
                <c:numCache>
                  <c:formatCode>General</c:formatCode>
                  <c:ptCount val="21"/>
                  <c:pt idx="0">
                    <c:v>1.4678061262526576E-2</c:v>
                  </c:pt>
                  <c:pt idx="1">
                    <c:v>1.4803023503295876E-2</c:v>
                  </c:pt>
                  <c:pt idx="2">
                    <c:v>1.4886805730769836E-2</c:v>
                  </c:pt>
                  <c:pt idx="3">
                    <c:v>1.4792880287632038E-2</c:v>
                  </c:pt>
                  <c:pt idx="4">
                    <c:v>1.4621356305893229E-2</c:v>
                  </c:pt>
                  <c:pt idx="5">
                    <c:v>1.4826593101814112E-2</c:v>
                  </c:pt>
                  <c:pt idx="6">
                    <c:v>1.4708982642678947E-2</c:v>
                  </c:pt>
                  <c:pt idx="7">
                    <c:v>1.4737759345520018E-2</c:v>
                  </c:pt>
                  <c:pt idx="8">
                    <c:v>1.449107699855201E-2</c:v>
                  </c:pt>
                  <c:pt idx="9">
                    <c:v>1.4695819292879442E-2</c:v>
                  </c:pt>
                  <c:pt idx="10">
                    <c:v>1.428387507302098E-2</c:v>
                  </c:pt>
                  <c:pt idx="11">
                    <c:v>0</c:v>
                  </c:pt>
                  <c:pt idx="12">
                    <c:v>0</c:v>
                  </c:pt>
                  <c:pt idx="13">
                    <c:v>0</c:v>
                  </c:pt>
                  <c:pt idx="14">
                    <c:v>0</c:v>
                  </c:pt>
                  <c:pt idx="15">
                    <c:v>0</c:v>
                  </c:pt>
                  <c:pt idx="16">
                    <c:v>0</c:v>
                  </c:pt>
                  <c:pt idx="17">
                    <c:v>0</c:v>
                  </c:pt>
                  <c:pt idx="18">
                    <c:v>0</c:v>
                  </c:pt>
                  <c:pt idx="19">
                    <c:v>0</c:v>
                  </c:pt>
                  <c:pt idx="20">
                    <c:v>0</c:v>
                  </c:pt>
                </c:numCache>
              </c:numRef>
            </c:plus>
            <c:minus>
              <c:numRef>
                <c:f>'R10.K.Ds.pad'!$N$69:$N$89</c:f>
                <c:numCache>
                  <c:formatCode>General</c:formatCode>
                  <c:ptCount val="21"/>
                  <c:pt idx="0">
                    <c:v>1.4628620158501526E-2</c:v>
                  </c:pt>
                  <c:pt idx="1">
                    <c:v>1.4752738419469225E-2</c:v>
                  </c:pt>
                  <c:pt idx="2">
                    <c:v>1.4835950805784037E-2</c:v>
                  </c:pt>
                  <c:pt idx="3">
                    <c:v>1.4742663975305881E-2</c:v>
                  </c:pt>
                  <c:pt idx="4">
                    <c:v>1.4572295832177673E-2</c:v>
                  </c:pt>
                  <c:pt idx="5">
                    <c:v>1.4776148033848635E-2</c:v>
                  </c:pt>
                  <c:pt idx="6">
                    <c:v>1.4659333362203597E-2</c:v>
                  </c:pt>
                  <c:pt idx="7">
                    <c:v>1.4687915935944318E-2</c:v>
                  </c:pt>
                  <c:pt idx="8">
                    <c:v>1.4442885467770061E-2</c:v>
                  </c:pt>
                  <c:pt idx="9">
                    <c:v>1.4646258687197822E-2</c:v>
                  </c:pt>
                  <c:pt idx="10">
                    <c:v>1.4237049605699603E-2</c:v>
                  </c:pt>
                  <c:pt idx="11">
                    <c:v>0</c:v>
                  </c:pt>
                  <c:pt idx="12">
                    <c:v>0</c:v>
                  </c:pt>
                  <c:pt idx="13">
                    <c:v>0</c:v>
                  </c:pt>
                  <c:pt idx="14">
                    <c:v>0</c:v>
                  </c:pt>
                  <c:pt idx="15">
                    <c:v>0</c:v>
                  </c:pt>
                  <c:pt idx="16">
                    <c:v>0</c:v>
                  </c:pt>
                  <c:pt idx="17">
                    <c:v>0</c:v>
                  </c:pt>
                  <c:pt idx="18">
                    <c:v>0</c:v>
                  </c:pt>
                  <c:pt idx="19">
                    <c:v>0</c:v>
                  </c:pt>
                  <c:pt idx="20">
                    <c:v>0</c:v>
                  </c:pt>
                </c:numCache>
              </c:numRef>
            </c:minus>
            <c:spPr>
              <a:noFill/>
              <a:ln w="9525" cap="flat" cmpd="sng" algn="ctr">
                <a:solidFill>
                  <a:schemeClr val="tx1">
                    <a:lumMod val="65000"/>
                    <a:lumOff val="35000"/>
                  </a:schemeClr>
                </a:solidFill>
                <a:round/>
              </a:ln>
              <a:effectLst/>
            </c:spPr>
          </c:errBars>
          <c:xVal>
            <c:numRef>
              <c:f>'R10.K.Ds.pad'!$I$69:$I$89</c:f>
              <c:numCache>
                <c:formatCode>#,##0.00</c:formatCode>
                <c:ptCount val="2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</c:numCache>
            </c:numRef>
          </c:xVal>
          <c:yVal>
            <c:numRef>
              <c:f>'R10.K.Ds.pad'!$K$69:$K$89</c:f>
              <c:numCache>
                <c:formatCode>#,##0.0000</c:formatCode>
                <c:ptCount val="21"/>
                <c:pt idx="0">
                  <c:v>5.5572093572315326</c:v>
                </c:pt>
                <c:pt idx="1">
                  <c:v>5.5796468248036799</c:v>
                </c:pt>
                <c:pt idx="2">
                  <c:v>5.5922206529555645</c:v>
                </c:pt>
                <c:pt idx="3">
                  <c:v>5.6053572171731325</c:v>
                </c:pt>
                <c:pt idx="4">
                  <c:v>5.6127310868078659</c:v>
                </c:pt>
                <c:pt idx="5">
                  <c:v>5.6032526948379138</c:v>
                </c:pt>
                <c:pt idx="6">
                  <c:v>5.6240796774603847</c:v>
                </c:pt>
                <c:pt idx="7">
                  <c:v>5.6156313930814203</c:v>
                </c:pt>
                <c:pt idx="8">
                  <c:v>5.6375781912843781</c:v>
                </c:pt>
                <c:pt idx="9">
                  <c:v>5.6298974208876862</c:v>
                </c:pt>
                <c:pt idx="10">
                  <c:v>5.6048309909736478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F077-4B62-B22B-034401845AA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78679920"/>
        <c:axId val="802641424"/>
      </c:scatterChart>
      <c:valAx>
        <c:axId val="578679920"/>
        <c:scaling>
          <c:orientation val="minMax"/>
          <c:max val="10"/>
          <c:min val="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AU"/>
                  <a:t>Padding length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#,##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02641424"/>
        <c:crosses val="autoZero"/>
        <c:crossBetween val="midCat"/>
        <c:majorUnit val="2"/>
        <c:minorUnit val="1"/>
      </c:valAx>
      <c:valAx>
        <c:axId val="802641424"/>
        <c:scaling>
          <c:orientation val="minMax"/>
          <c:max val="6.1"/>
          <c:min val="4.9000000000000004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AU"/>
                  <a:t>Q</a:t>
                </a:r>
                <a:r>
                  <a:rPr lang="en-AU" baseline="0"/>
                  <a:t>uality score, </a:t>
                </a:r>
                <a:r>
                  <a:rPr lang="en-AU" i="1" baseline="0"/>
                  <a:t>Q</a:t>
                </a:r>
                <a:endParaRPr lang="en-AU" i="1"/>
              </a:p>
            </c:rich>
          </c:tx>
          <c:layout>
            <c:manualLayout>
              <c:xMode val="edge"/>
              <c:yMode val="edge"/>
              <c:x val="1.2630035540302917E-2"/>
              <c:y val="0.3506217297161231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#,##0.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78679920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7715254705504232"/>
          <c:y val="0.34878351652668288"/>
          <c:w val="0.21228217619277828"/>
          <c:h val="0.3436151953612574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6350" cap="flat" cmpd="sng" algn="ctr">
      <a:solidFill>
        <a:schemeClr val="tx1"/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5.xml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chart" Target="../charts/chart6.xml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chart" Target="../charts/chart7.xml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chart" Target="../charts/chart8.xml"/></Relationships>
</file>

<file path=xl/drawings/_rels/drawing9.xml.rels><?xml version="1.0" encoding="UTF-8" standalone="yes"?>
<Relationships xmlns="http://schemas.openxmlformats.org/package/2006/relationships"><Relationship Id="rId1" Type="http://schemas.openxmlformats.org/officeDocument/2006/relationships/chart" Target="../charts/chart9.xml"/></Relationships>
</file>

<file path=xl/drawings/_rels/drawing10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0.xml"/></Relationships>
</file>

<file path=xl/drawings/_rels/drawing1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1.xml"/></Relationships>
</file>

<file path=xl/drawings/_rels/drawing1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2.xml"/></Relationships>
</file>

<file path=xl/drawings/_rels/drawing1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3.xml"/></Relationships>
</file>

<file path=xl/drawings/_rels/drawing1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4.xml"/></Relationships>
</file>

<file path=xl/drawings/_rels/drawing1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5.xml"/></Relationships>
</file>

<file path=xl/drawings/_rels/drawing16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6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722497</xdr:colOff>
      <xdr:row>7</xdr:row>
      <xdr:rowOff>15809</xdr:rowOff>
    </xdr:from>
    <xdr:to>
      <xdr:col>11</xdr:col>
      <xdr:colOff>458856</xdr:colOff>
      <xdr:row>20</xdr:row>
      <xdr:rowOff>6626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2119EC6E-F112-961E-9B2B-1235A2E4D12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341247</xdr:colOff>
      <xdr:row>3</xdr:row>
      <xdr:rowOff>141455</xdr:rowOff>
    </xdr:from>
    <xdr:to>
      <xdr:col>14</xdr:col>
      <xdr:colOff>352838</xdr:colOff>
      <xdr:row>16</xdr:row>
      <xdr:rowOff>117612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7A367E8B-3A78-4091-ADF7-5A335A99A5A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253</xdr:colOff>
      <xdr:row>2</xdr:row>
      <xdr:rowOff>9183</xdr:rowOff>
    </xdr:from>
    <xdr:to>
      <xdr:col>14</xdr:col>
      <xdr:colOff>8282</xdr:colOff>
      <xdr:row>15</xdr:row>
      <xdr:rowOff>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78F459C-86AB-4DCB-9901-C37753B1C3F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253</xdr:colOff>
      <xdr:row>2</xdr:row>
      <xdr:rowOff>9183</xdr:rowOff>
    </xdr:from>
    <xdr:to>
      <xdr:col>14</xdr:col>
      <xdr:colOff>8282</xdr:colOff>
      <xdr:row>15</xdr:row>
      <xdr:rowOff>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6203850A-7293-4F16-B9CE-5DBF7911B23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685804</xdr:colOff>
      <xdr:row>2</xdr:row>
      <xdr:rowOff>15561</xdr:rowOff>
    </xdr:from>
    <xdr:to>
      <xdr:col>14</xdr:col>
      <xdr:colOff>8282</xdr:colOff>
      <xdr:row>14</xdr:row>
      <xdr:rowOff>190500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6D051A4A-8800-4146-A6F5-EF73F4271B4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253</xdr:colOff>
      <xdr:row>2</xdr:row>
      <xdr:rowOff>9183</xdr:rowOff>
    </xdr:from>
    <xdr:to>
      <xdr:col>14</xdr:col>
      <xdr:colOff>8282</xdr:colOff>
      <xdr:row>15</xdr:row>
      <xdr:rowOff>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FC91255-12A4-456F-BCE7-D063D140057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685804</xdr:colOff>
      <xdr:row>2</xdr:row>
      <xdr:rowOff>15561</xdr:rowOff>
    </xdr:from>
    <xdr:to>
      <xdr:col>14</xdr:col>
      <xdr:colOff>8282</xdr:colOff>
      <xdr:row>14</xdr:row>
      <xdr:rowOff>190500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F3AE2F21-50E2-4DE7-AC3B-1597C98BB0F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253</xdr:colOff>
      <xdr:row>2</xdr:row>
      <xdr:rowOff>9183</xdr:rowOff>
    </xdr:from>
    <xdr:to>
      <xdr:col>14</xdr:col>
      <xdr:colOff>8282</xdr:colOff>
      <xdr:row>15</xdr:row>
      <xdr:rowOff>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9773C470-EFDB-4B11-86DD-0A301C8F74A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685804</xdr:colOff>
      <xdr:row>2</xdr:row>
      <xdr:rowOff>15561</xdr:rowOff>
    </xdr:from>
    <xdr:to>
      <xdr:col>14</xdr:col>
      <xdr:colOff>8282</xdr:colOff>
      <xdr:row>14</xdr:row>
      <xdr:rowOff>190500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E1675171-E93D-4F76-9DF4-64842569528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253</xdr:colOff>
      <xdr:row>2</xdr:row>
      <xdr:rowOff>9183</xdr:rowOff>
    </xdr:from>
    <xdr:to>
      <xdr:col>14</xdr:col>
      <xdr:colOff>8282</xdr:colOff>
      <xdr:row>15</xdr:row>
      <xdr:rowOff>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E3273E08-B227-4339-99D6-2A5DE7492B7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685804</xdr:colOff>
      <xdr:row>2</xdr:row>
      <xdr:rowOff>15561</xdr:rowOff>
    </xdr:from>
    <xdr:to>
      <xdr:col>14</xdr:col>
      <xdr:colOff>8282</xdr:colOff>
      <xdr:row>14</xdr:row>
      <xdr:rowOff>190500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3AF15095-83C2-4E33-9FE6-8F7C18A69A7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253</xdr:colOff>
      <xdr:row>2</xdr:row>
      <xdr:rowOff>9183</xdr:rowOff>
    </xdr:from>
    <xdr:to>
      <xdr:col>14</xdr:col>
      <xdr:colOff>8282</xdr:colOff>
      <xdr:row>15</xdr:row>
      <xdr:rowOff>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6AE60BBF-F2C9-4C41-B134-21995A9CB0C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3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208726</xdr:colOff>
      <xdr:row>4</xdr:row>
      <xdr:rowOff>48692</xdr:rowOff>
    </xdr:from>
    <xdr:to>
      <xdr:col>21</xdr:col>
      <xdr:colOff>187186</xdr:colOff>
      <xdr:row>17</xdr:row>
      <xdr:rowOff>24849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5AEA6B4A-6463-46AB-999A-987AECCBE84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4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253</xdr:colOff>
      <xdr:row>2</xdr:row>
      <xdr:rowOff>9183</xdr:rowOff>
    </xdr:from>
    <xdr:to>
      <xdr:col>14</xdr:col>
      <xdr:colOff>8282</xdr:colOff>
      <xdr:row>15</xdr:row>
      <xdr:rowOff>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B40A2E57-E500-4FBF-970C-75340F24EAC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5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33383</xdr:colOff>
      <xdr:row>3</xdr:row>
      <xdr:rowOff>168457</xdr:rowOff>
    </xdr:from>
    <xdr:to>
      <xdr:col>15</xdr:col>
      <xdr:colOff>490579</xdr:colOff>
      <xdr:row>16</xdr:row>
      <xdr:rowOff>157369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53E25CFE-D87D-4C73-8D67-299AE5B26CB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6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33383</xdr:colOff>
      <xdr:row>3</xdr:row>
      <xdr:rowOff>168457</xdr:rowOff>
    </xdr:from>
    <xdr:to>
      <xdr:col>15</xdr:col>
      <xdr:colOff>490579</xdr:colOff>
      <xdr:row>16</xdr:row>
      <xdr:rowOff>157369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77F7187F-B58B-4093-9AE9-593DF72C361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ang="16200000" scaled="1"/>
        </a:gradFill>
      </a:fillStyleLst>
      <a:lnStyleLst>
        <a:ln w="9525" cap="flat" cmpd="sng" algn="ctr">
          <a:solidFill>
            <a:schemeClr val="phClr">
              <a:shade val="95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3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6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outlinePr summaryBelow="0"/>
  </sheetPr>
  <dimension ref="A1:Q121"/>
  <sheetViews>
    <sheetView tabSelected="1" zoomScale="115" zoomScaleNormal="115" workbookViewId="0">
      <pane ySplit="1" topLeftCell="A4" activePane="bottomLeft" state="frozen"/>
      <selection pane="bottomLeft" activeCell="P13" sqref="P13"/>
    </sheetView>
  </sheetViews>
  <sheetFormatPr defaultRowHeight="14.4" x14ac:dyDescent="0.3"/>
  <cols>
    <col min="1" max="1" width="13.33203125" style="1" bestFit="1" customWidth="1"/>
    <col min="2" max="2" width="10.33203125" style="1" customWidth="1"/>
    <col min="3" max="3" width="10.77734375" style="1" customWidth="1"/>
    <col min="4" max="4" width="10.21875" style="2" customWidth="1"/>
    <col min="5" max="5" width="11.77734375" style="1" customWidth="1"/>
    <col min="6" max="6" width="9.44140625" style="2" customWidth="1"/>
    <col min="7" max="9" width="10" style="2" customWidth="1"/>
    <col min="10" max="10" width="9" style="2" customWidth="1"/>
    <col min="11" max="15" width="12.44140625" style="2" customWidth="1"/>
    <col min="16" max="16" width="12.44140625" customWidth="1"/>
  </cols>
  <sheetData>
    <row r="1" spans="1:15" s="6" customFormat="1" ht="15.6" customHeight="1" x14ac:dyDescent="0.3">
      <c r="A1" s="11" t="s">
        <v>14</v>
      </c>
      <c r="B1" s="11" t="s">
        <v>0</v>
      </c>
      <c r="C1" s="11" t="s">
        <v>1</v>
      </c>
      <c r="D1" s="12" t="s">
        <v>2</v>
      </c>
      <c r="E1" s="11" t="s">
        <v>3</v>
      </c>
      <c r="F1" s="12" t="s">
        <v>4</v>
      </c>
      <c r="G1" s="12" t="s">
        <v>5</v>
      </c>
      <c r="H1" s="12" t="s">
        <v>6</v>
      </c>
      <c r="I1" s="12"/>
      <c r="J1" s="12" t="s">
        <v>7</v>
      </c>
      <c r="K1" s="12" t="s">
        <v>8</v>
      </c>
      <c r="L1" s="12" t="s">
        <v>9</v>
      </c>
      <c r="M1" s="12" t="s">
        <v>10</v>
      </c>
      <c r="N1" s="12" t="s">
        <v>11</v>
      </c>
      <c r="O1" s="12" t="s">
        <v>12</v>
      </c>
    </row>
    <row r="2" spans="1:15" ht="15.6" customHeight="1" x14ac:dyDescent="0.3">
      <c r="A2" s="13" t="s">
        <v>13</v>
      </c>
      <c r="B2" s="7"/>
      <c r="C2" s="7"/>
      <c r="D2" s="8"/>
      <c r="E2" s="7"/>
      <c r="F2" s="8"/>
      <c r="G2" s="8"/>
      <c r="H2" s="8"/>
      <c r="I2" s="8"/>
      <c r="J2" s="9"/>
      <c r="K2" s="10"/>
      <c r="L2" s="10"/>
      <c r="M2" s="10"/>
      <c r="N2" s="10"/>
      <c r="O2" s="10"/>
    </row>
    <row r="3" spans="1:15" ht="15.6" customHeight="1" x14ac:dyDescent="0.3">
      <c r="A3" s="1">
        <v>1</v>
      </c>
      <c r="B3" s="1">
        <v>149</v>
      </c>
      <c r="C3" s="1">
        <v>400</v>
      </c>
      <c r="D3" s="2">
        <v>0</v>
      </c>
      <c r="E3" s="1">
        <v>10</v>
      </c>
      <c r="F3" s="2">
        <v>0</v>
      </c>
      <c r="G3" s="2">
        <v>282.57</v>
      </c>
      <c r="H3" s="2">
        <v>11.34</v>
      </c>
      <c r="J3" s="4">
        <f t="shared" ref="J3:J18" si="0">H3/SQRT(C3)</f>
        <v>0.56699999999999995</v>
      </c>
      <c r="K3" s="5">
        <f t="shared" ref="K3:K18" si="1">-10*LOG10(G3/(B3*3))</f>
        <v>1.9918147151485939</v>
      </c>
      <c r="L3" s="5">
        <f t="shared" ref="L3:L18" si="2">-10*LOG10((G3+1.96*J3)/(B3*3))</f>
        <v>1.9747678405098799</v>
      </c>
      <c r="M3" s="5">
        <f t="shared" ref="M3:M18" si="3">-10*LOG10((G3-1.96*J3)/(B3*3))</f>
        <v>2.0089287657389217</v>
      </c>
      <c r="N3" s="5">
        <f t="shared" ref="N3:N18" si="4">K3-L3</f>
        <v>1.7046874638714016E-2</v>
      </c>
      <c r="O3" s="5">
        <f t="shared" ref="O3:O18" si="5">M3-K3</f>
        <v>1.7114050590327778E-2</v>
      </c>
    </row>
    <row r="4" spans="1:15" ht="15.6" customHeight="1" x14ac:dyDescent="0.3">
      <c r="A4" s="3">
        <v>1</v>
      </c>
      <c r="B4" s="3">
        <v>149</v>
      </c>
      <c r="C4" s="3">
        <v>400</v>
      </c>
      <c r="D4" s="4">
        <v>0.01</v>
      </c>
      <c r="E4" s="3">
        <v>10</v>
      </c>
      <c r="F4" s="4">
        <v>0</v>
      </c>
      <c r="G4" s="4">
        <v>286.04000000000002</v>
      </c>
      <c r="H4" s="4">
        <v>11.37</v>
      </c>
      <c r="I4" s="4"/>
      <c r="J4" s="4">
        <f t="shared" si="0"/>
        <v>0.56850000000000001</v>
      </c>
      <c r="K4" s="5">
        <f t="shared" si="1"/>
        <v>1.9388075376310447</v>
      </c>
      <c r="L4" s="5">
        <f t="shared" si="2"/>
        <v>1.9219225960766586</v>
      </c>
      <c r="M4" s="5">
        <f t="shared" si="3"/>
        <v>1.9557583824834217</v>
      </c>
      <c r="N4" s="5">
        <f t="shared" si="4"/>
        <v>1.6884941554386135E-2</v>
      </c>
      <c r="O4" s="5">
        <f t="shared" si="5"/>
        <v>1.6950844852376967E-2</v>
      </c>
    </row>
    <row r="5" spans="1:15" ht="15.6" customHeight="1" x14ac:dyDescent="0.3">
      <c r="A5" s="3">
        <v>1</v>
      </c>
      <c r="B5" s="3">
        <v>149</v>
      </c>
      <c r="C5" s="3">
        <v>400</v>
      </c>
      <c r="D5" s="4">
        <v>0.02</v>
      </c>
      <c r="E5" s="3">
        <v>10</v>
      </c>
      <c r="F5" s="4">
        <v>0</v>
      </c>
      <c r="G5" s="4">
        <v>293.70999999999998</v>
      </c>
      <c r="H5" s="4">
        <v>12.85</v>
      </c>
      <c r="I5" s="4"/>
      <c r="J5" s="4">
        <f t="shared" si="0"/>
        <v>0.64249999999999996</v>
      </c>
      <c r="K5" s="5">
        <f t="shared" si="1"/>
        <v>1.8238878985092835</v>
      </c>
      <c r="L5" s="5">
        <f t="shared" si="2"/>
        <v>1.8053070557547601</v>
      </c>
      <c r="M5" s="5">
        <f t="shared" si="3"/>
        <v>1.8425485791892298</v>
      </c>
      <c r="N5" s="5">
        <f t="shared" si="4"/>
        <v>1.8580842754523319E-2</v>
      </c>
      <c r="O5" s="5">
        <f t="shared" si="5"/>
        <v>1.8660680679946307E-2</v>
      </c>
    </row>
    <row r="6" spans="1:15" ht="15.6" customHeight="1" x14ac:dyDescent="0.3">
      <c r="A6" s="3">
        <v>1</v>
      </c>
      <c r="B6" s="3">
        <v>149</v>
      </c>
      <c r="C6" s="3">
        <v>400</v>
      </c>
      <c r="D6" s="4">
        <v>0.03</v>
      </c>
      <c r="E6" s="3">
        <v>10</v>
      </c>
      <c r="F6" s="4">
        <v>0</v>
      </c>
      <c r="G6" s="4">
        <v>301.29000000000002</v>
      </c>
      <c r="H6" s="4">
        <v>16.420000000000002</v>
      </c>
      <c r="I6" s="4"/>
      <c r="J6" s="4">
        <f t="shared" si="0"/>
        <v>0.82100000000000006</v>
      </c>
      <c r="K6" s="5">
        <f t="shared" si="1"/>
        <v>1.7132280571975</v>
      </c>
      <c r="L6" s="5">
        <f t="shared" si="2"/>
        <v>1.6900945418293889</v>
      </c>
      <c r="M6" s="5">
        <f t="shared" si="3"/>
        <v>1.7364854577945308</v>
      </c>
      <c r="N6" s="5">
        <f t="shared" si="4"/>
        <v>2.3133515368111146E-2</v>
      </c>
      <c r="O6" s="5">
        <f t="shared" si="5"/>
        <v>2.3257400597030742E-2</v>
      </c>
    </row>
    <row r="7" spans="1:15" ht="15.6" customHeight="1" x14ac:dyDescent="0.3">
      <c r="A7" s="3">
        <v>1</v>
      </c>
      <c r="B7" s="3">
        <v>149</v>
      </c>
      <c r="C7" s="3">
        <v>400</v>
      </c>
      <c r="D7" s="4">
        <v>0.04</v>
      </c>
      <c r="E7" s="3">
        <v>10</v>
      </c>
      <c r="F7" s="4">
        <v>0</v>
      </c>
      <c r="G7" s="4">
        <v>293.17</v>
      </c>
      <c r="H7" s="4">
        <v>25.3</v>
      </c>
      <c r="I7" s="4"/>
      <c r="J7" s="4">
        <f t="shared" si="0"/>
        <v>1.2650000000000001</v>
      </c>
      <c r="K7" s="5">
        <f t="shared" si="1"/>
        <v>1.8318799611595924</v>
      </c>
      <c r="L7" s="5">
        <f t="shared" si="2"/>
        <v>1.7953052116651791</v>
      </c>
      <c r="M7" s="5">
        <f t="shared" si="3"/>
        <v>1.8687653482258377</v>
      </c>
      <c r="N7" s="5">
        <f t="shared" si="4"/>
        <v>3.6574749494413306E-2</v>
      </c>
      <c r="O7" s="5">
        <f t="shared" si="5"/>
        <v>3.6885387066245334E-2</v>
      </c>
    </row>
    <row r="8" spans="1:15" ht="15.6" customHeight="1" x14ac:dyDescent="0.3">
      <c r="A8" s="3">
        <v>1</v>
      </c>
      <c r="B8" s="3">
        <v>149</v>
      </c>
      <c r="C8" s="3">
        <v>400</v>
      </c>
      <c r="D8" s="4">
        <v>0.05</v>
      </c>
      <c r="E8" s="3">
        <v>10</v>
      </c>
      <c r="F8" s="4">
        <v>0</v>
      </c>
      <c r="G8" s="4">
        <v>100.27</v>
      </c>
      <c r="H8" s="4">
        <v>49.27</v>
      </c>
      <c r="I8" s="4"/>
      <c r="J8" s="4">
        <f t="shared" si="0"/>
        <v>2.4635000000000002</v>
      </c>
      <c r="K8" s="5">
        <f t="shared" si="1"/>
        <v>6.4913650819053572</v>
      </c>
      <c r="L8" s="5">
        <f t="shared" si="2"/>
        <v>6.2871117074215421</v>
      </c>
      <c r="M8" s="5">
        <f t="shared" si="3"/>
        <v>6.7057008484070852</v>
      </c>
      <c r="N8" s="5">
        <f t="shared" si="4"/>
        <v>0.20425337448381509</v>
      </c>
      <c r="O8" s="5">
        <f t="shared" si="5"/>
        <v>0.21433576650172803</v>
      </c>
    </row>
    <row r="9" spans="1:15" ht="15.6" customHeight="1" x14ac:dyDescent="0.3">
      <c r="A9" s="3">
        <v>1</v>
      </c>
      <c r="B9" s="3">
        <v>149</v>
      </c>
      <c r="C9" s="3">
        <v>400</v>
      </c>
      <c r="D9" s="4">
        <v>0.06</v>
      </c>
      <c r="E9" s="3">
        <v>10</v>
      </c>
      <c r="F9" s="4">
        <v>0</v>
      </c>
      <c r="G9" s="4">
        <v>70.59</v>
      </c>
      <c r="H9" s="4">
        <v>18.04</v>
      </c>
      <c r="I9" s="4"/>
      <c r="J9" s="4">
        <f t="shared" si="0"/>
        <v>0.90199999999999991</v>
      </c>
      <c r="K9" s="5">
        <f t="shared" si="1"/>
        <v>8.0156434123625271</v>
      </c>
      <c r="L9" s="5">
        <f t="shared" si="2"/>
        <v>7.9082144898929343</v>
      </c>
      <c r="M9" s="5">
        <f t="shared" si="3"/>
        <v>8.12579729027909</v>
      </c>
      <c r="N9" s="5">
        <f t="shared" si="4"/>
        <v>0.10742892246959279</v>
      </c>
      <c r="O9" s="5">
        <f t="shared" si="5"/>
        <v>0.11015387791656295</v>
      </c>
    </row>
    <row r="10" spans="1:15" ht="15.6" customHeight="1" x14ac:dyDescent="0.3">
      <c r="A10" s="3">
        <v>1</v>
      </c>
      <c r="B10" s="3">
        <v>149</v>
      </c>
      <c r="C10" s="3">
        <v>400</v>
      </c>
      <c r="D10" s="4">
        <v>7.0000000000000007E-2</v>
      </c>
      <c r="E10" s="3">
        <v>10</v>
      </c>
      <c r="F10" s="4">
        <v>0</v>
      </c>
      <c r="G10" s="4">
        <v>69.86</v>
      </c>
      <c r="H10" s="4">
        <v>14.31</v>
      </c>
      <c r="I10" s="4"/>
      <c r="J10" s="4">
        <f t="shared" si="0"/>
        <v>0.71550000000000002</v>
      </c>
      <c r="K10" s="5">
        <f t="shared" si="1"/>
        <v>8.0607894183030862</v>
      </c>
      <c r="L10" s="5">
        <f t="shared" si="2"/>
        <v>7.9744720043540092</v>
      </c>
      <c r="M10" s="5">
        <f t="shared" si="3"/>
        <v>8.1488572676469939</v>
      </c>
      <c r="N10" s="5">
        <f t="shared" si="4"/>
        <v>8.6317413949076993E-2</v>
      </c>
      <c r="O10" s="5">
        <f t="shared" si="5"/>
        <v>8.8067849343907767E-2</v>
      </c>
    </row>
    <row r="11" spans="1:15" ht="15.6" customHeight="1" x14ac:dyDescent="0.3">
      <c r="A11" s="3">
        <v>1</v>
      </c>
      <c r="B11" s="3">
        <v>149</v>
      </c>
      <c r="C11" s="3">
        <v>400</v>
      </c>
      <c r="D11" s="4">
        <v>0.08</v>
      </c>
      <c r="E11" s="3">
        <v>10</v>
      </c>
      <c r="F11" s="4">
        <v>0</v>
      </c>
      <c r="G11" s="4">
        <v>71.72</v>
      </c>
      <c r="H11" s="4">
        <v>13.73</v>
      </c>
      <c r="I11" s="4"/>
      <c r="J11" s="4">
        <f t="shared" si="0"/>
        <v>0.6865</v>
      </c>
      <c r="K11" s="5">
        <f t="shared" si="1"/>
        <v>7.9466724224179117</v>
      </c>
      <c r="L11" s="5">
        <f t="shared" si="2"/>
        <v>7.8659492478500814</v>
      </c>
      <c r="M11" s="5">
        <f t="shared" si="3"/>
        <v>8.0289244770478945</v>
      </c>
      <c r="N11" s="5">
        <f t="shared" si="4"/>
        <v>8.0723174567830291E-2</v>
      </c>
      <c r="O11" s="5">
        <f t="shared" si="5"/>
        <v>8.2252054629982752E-2</v>
      </c>
    </row>
    <row r="12" spans="1:15" ht="15.6" customHeight="1" x14ac:dyDescent="0.3">
      <c r="A12" s="3">
        <v>1</v>
      </c>
      <c r="B12" s="3">
        <v>149</v>
      </c>
      <c r="C12" s="3">
        <v>400</v>
      </c>
      <c r="D12" s="4">
        <v>0.09</v>
      </c>
      <c r="E12" s="3">
        <v>10</v>
      </c>
      <c r="F12" s="4">
        <v>0</v>
      </c>
      <c r="G12" s="4">
        <v>78.77</v>
      </c>
      <c r="H12" s="4">
        <v>13.07</v>
      </c>
      <c r="I12" s="4"/>
      <c r="J12" s="4">
        <f t="shared" si="0"/>
        <v>0.65349999999999997</v>
      </c>
      <c r="K12" s="5">
        <f t="shared" si="1"/>
        <v>7.5394667766262016</v>
      </c>
      <c r="L12" s="5">
        <f t="shared" si="2"/>
        <v>7.4694152115209356</v>
      </c>
      <c r="M12" s="5">
        <f t="shared" si="3"/>
        <v>7.6106668215542363</v>
      </c>
      <c r="N12" s="5">
        <f t="shared" si="4"/>
        <v>7.0051565105266E-2</v>
      </c>
      <c r="O12" s="5">
        <f t="shared" si="5"/>
        <v>7.1200044928034778E-2</v>
      </c>
    </row>
    <row r="13" spans="1:15" ht="15.6" customHeight="1" x14ac:dyDescent="0.3">
      <c r="A13" s="3">
        <v>1</v>
      </c>
      <c r="B13" s="3">
        <v>149</v>
      </c>
      <c r="C13" s="3">
        <v>400</v>
      </c>
      <c r="D13" s="4">
        <v>0.1</v>
      </c>
      <c r="E13" s="3">
        <v>10</v>
      </c>
      <c r="F13" s="4">
        <v>0</v>
      </c>
      <c r="G13" s="4">
        <v>86.13</v>
      </c>
      <c r="H13" s="4">
        <v>13.94</v>
      </c>
      <c r="I13" s="4"/>
      <c r="J13" s="4">
        <f t="shared" si="0"/>
        <v>0.69699999999999995</v>
      </c>
      <c r="K13" s="5">
        <f t="shared" si="1"/>
        <v>7.15153075915768</v>
      </c>
      <c r="L13" s="5">
        <f t="shared" si="2"/>
        <v>7.0831872839477903</v>
      </c>
      <c r="M13" s="5">
        <f t="shared" si="3"/>
        <v>7.220966951495388</v>
      </c>
      <c r="N13" s="5">
        <f t="shared" si="4"/>
        <v>6.8343475209889704E-2</v>
      </c>
      <c r="O13" s="5">
        <f t="shared" si="5"/>
        <v>6.9436192337708036E-2</v>
      </c>
    </row>
    <row r="14" spans="1:15" ht="15.6" customHeight="1" x14ac:dyDescent="0.3">
      <c r="A14" s="3">
        <v>1</v>
      </c>
      <c r="B14" s="3">
        <v>149</v>
      </c>
      <c r="C14" s="3">
        <v>400</v>
      </c>
      <c r="D14" s="4">
        <v>0.11</v>
      </c>
      <c r="E14" s="3">
        <v>10</v>
      </c>
      <c r="F14" s="4">
        <v>0</v>
      </c>
      <c r="G14" s="4">
        <v>93.02</v>
      </c>
      <c r="H14" s="4">
        <v>15.23</v>
      </c>
      <c r="I14" s="4"/>
      <c r="J14" s="4">
        <f t="shared" si="0"/>
        <v>0.76150000000000007</v>
      </c>
      <c r="K14" s="5">
        <f t="shared" si="1"/>
        <v>6.8173118795643886</v>
      </c>
      <c r="L14" s="5">
        <f t="shared" si="2"/>
        <v>6.7481808825766034</v>
      </c>
      <c r="M14" s="5">
        <f t="shared" si="3"/>
        <v>6.887561128106209</v>
      </c>
      <c r="N14" s="5">
        <f t="shared" si="4"/>
        <v>6.9130996987785132E-2</v>
      </c>
      <c r="O14" s="5">
        <f t="shared" si="5"/>
        <v>7.0249248541820464E-2</v>
      </c>
    </row>
    <row r="15" spans="1:15" ht="15.6" customHeight="1" x14ac:dyDescent="0.3">
      <c r="A15" s="3">
        <v>1</v>
      </c>
      <c r="B15" s="3">
        <v>149</v>
      </c>
      <c r="C15" s="3">
        <v>400</v>
      </c>
      <c r="D15" s="4">
        <v>0.12</v>
      </c>
      <c r="E15" s="3">
        <v>10</v>
      </c>
      <c r="F15" s="4">
        <v>0</v>
      </c>
      <c r="G15" s="4">
        <v>102.8</v>
      </c>
      <c r="H15" s="4">
        <v>16.010000000000002</v>
      </c>
      <c r="I15" s="4"/>
      <c r="J15" s="4">
        <f t="shared" si="0"/>
        <v>0.8005000000000001</v>
      </c>
      <c r="K15" s="5">
        <f t="shared" si="1"/>
        <v>6.383144084726796</v>
      </c>
      <c r="L15" s="5">
        <f t="shared" si="2"/>
        <v>6.3173608401206618</v>
      </c>
      <c r="M15" s="5">
        <f t="shared" si="3"/>
        <v>6.4499391032629454</v>
      </c>
      <c r="N15" s="5">
        <f t="shared" si="4"/>
        <v>6.5783244606134161E-2</v>
      </c>
      <c r="O15" s="5">
        <f t="shared" si="5"/>
        <v>6.6795018536149442E-2</v>
      </c>
    </row>
    <row r="16" spans="1:15" ht="15.6" customHeight="1" x14ac:dyDescent="0.3">
      <c r="A16" s="3">
        <v>1</v>
      </c>
      <c r="B16" s="3">
        <v>149</v>
      </c>
      <c r="C16" s="3">
        <v>400</v>
      </c>
      <c r="D16" s="4">
        <v>0.13</v>
      </c>
      <c r="E16" s="3">
        <v>10</v>
      </c>
      <c r="F16" s="4">
        <v>0</v>
      </c>
      <c r="G16" s="4">
        <v>115.3</v>
      </c>
      <c r="H16" s="4">
        <v>20.16</v>
      </c>
      <c r="I16" s="4"/>
      <c r="J16" s="4">
        <f t="shared" si="0"/>
        <v>1.008</v>
      </c>
      <c r="K16" s="5">
        <f t="shared" si="1"/>
        <v>5.8847821583723743</v>
      </c>
      <c r="L16" s="5">
        <f t="shared" si="2"/>
        <v>5.8109956333417294</v>
      </c>
      <c r="M16" s="5">
        <f t="shared" si="3"/>
        <v>5.9598440136753563</v>
      </c>
      <c r="N16" s="5">
        <f t="shared" si="4"/>
        <v>7.3786525030644867E-2</v>
      </c>
      <c r="O16" s="5">
        <f t="shared" si="5"/>
        <v>7.5061855302982039E-2</v>
      </c>
    </row>
    <row r="17" spans="1:15" ht="15.6" customHeight="1" x14ac:dyDescent="0.3">
      <c r="A17" s="3">
        <v>1</v>
      </c>
      <c r="B17" s="3">
        <v>149</v>
      </c>
      <c r="C17" s="3">
        <v>400</v>
      </c>
      <c r="D17" s="4">
        <v>0.14000000000000001</v>
      </c>
      <c r="E17" s="3">
        <v>10</v>
      </c>
      <c r="F17" s="4">
        <v>0</v>
      </c>
      <c r="G17" s="4">
        <v>133.21</v>
      </c>
      <c r="H17" s="4">
        <v>22.6</v>
      </c>
      <c r="I17" s="4"/>
      <c r="J17" s="4">
        <f t="shared" si="0"/>
        <v>1.1300000000000001</v>
      </c>
      <c r="K17" s="5">
        <f t="shared" si="1"/>
        <v>5.2577069483065921</v>
      </c>
      <c r="L17" s="5">
        <f t="shared" si="2"/>
        <v>5.1860932025324269</v>
      </c>
      <c r="M17" s="5">
        <f t="shared" si="3"/>
        <v>5.3305214084796955</v>
      </c>
      <c r="N17" s="5">
        <f t="shared" si="4"/>
        <v>7.1613745774165238E-2</v>
      </c>
      <c r="O17" s="5">
        <f t="shared" si="5"/>
        <v>7.2814460173103335E-2</v>
      </c>
    </row>
    <row r="18" spans="1:15" ht="15.6" customHeight="1" x14ac:dyDescent="0.3">
      <c r="A18" s="3">
        <v>1</v>
      </c>
      <c r="B18" s="3">
        <v>149</v>
      </c>
      <c r="C18" s="3">
        <v>400</v>
      </c>
      <c r="D18" s="4">
        <v>0.15</v>
      </c>
      <c r="E18" s="3">
        <v>10</v>
      </c>
      <c r="F18" s="4">
        <v>0</v>
      </c>
      <c r="G18" s="4">
        <v>149.01</v>
      </c>
      <c r="H18" s="4">
        <v>26.43</v>
      </c>
      <c r="I18" s="4"/>
      <c r="J18" s="4">
        <f t="shared" si="0"/>
        <v>1.3214999999999999</v>
      </c>
      <c r="K18" s="5">
        <f t="shared" si="1"/>
        <v>4.7709210841705074</v>
      </c>
      <c r="L18" s="5">
        <f t="shared" si="2"/>
        <v>4.6960792077258127</v>
      </c>
      <c r="M18" s="5">
        <f t="shared" si="3"/>
        <v>4.847075358669259</v>
      </c>
      <c r="N18" s="5">
        <f t="shared" si="4"/>
        <v>7.4841876444694755E-2</v>
      </c>
      <c r="O18" s="5">
        <f t="shared" si="5"/>
        <v>7.6154274498751562E-2</v>
      </c>
    </row>
    <row r="19" spans="1:15" ht="15.6" customHeight="1" x14ac:dyDescent="0.3">
      <c r="A19" s="3">
        <v>1</v>
      </c>
      <c r="B19" s="3">
        <v>149</v>
      </c>
      <c r="C19" s="3">
        <v>400</v>
      </c>
      <c r="D19" s="4">
        <v>0.16</v>
      </c>
      <c r="E19" s="3">
        <v>10</v>
      </c>
      <c r="F19" s="4">
        <v>0</v>
      </c>
      <c r="G19" s="4">
        <v>162.36000000000001</v>
      </c>
      <c r="H19" s="4">
        <v>28.26</v>
      </c>
      <c r="I19" s="4"/>
      <c r="J19" s="4">
        <f t="shared" ref="J19:J23" si="6">H19/SQRT(C19)</f>
        <v>1.413</v>
      </c>
      <c r="K19" s="5">
        <f t="shared" ref="K19:K23" si="7">-10*LOG10(G19/(B19*3))</f>
        <v>4.3982848048668863</v>
      </c>
      <c r="L19" s="5">
        <f t="shared" ref="L19:L23" si="8">-10*LOG10((G19+1.96*J19)/(B19*3))</f>
        <v>4.3248290984236801</v>
      </c>
      <c r="M19" s="5">
        <f t="shared" ref="M19:M23" si="9">-10*LOG10((G19-1.96*J19)/(B19*3))</f>
        <v>4.4730043332254157</v>
      </c>
      <c r="N19" s="5">
        <f t="shared" ref="N19:N23" si="10">K19-L19</f>
        <v>7.3455706443206203E-2</v>
      </c>
      <c r="O19" s="5">
        <f t="shared" ref="O19:O23" si="11">M19-K19</f>
        <v>7.4719528358529352E-2</v>
      </c>
    </row>
    <row r="20" spans="1:15" ht="15.6" customHeight="1" x14ac:dyDescent="0.3">
      <c r="A20" s="3">
        <v>1</v>
      </c>
      <c r="B20" s="3">
        <v>149</v>
      </c>
      <c r="C20" s="3">
        <v>400</v>
      </c>
      <c r="D20" s="4">
        <v>0.17</v>
      </c>
      <c r="E20" s="3">
        <v>10</v>
      </c>
      <c r="F20" s="4">
        <v>0</v>
      </c>
      <c r="G20" s="4">
        <v>174.4</v>
      </c>
      <c r="H20" s="4">
        <v>26.23</v>
      </c>
      <c r="I20" s="4"/>
      <c r="J20" s="4">
        <f t="shared" si="6"/>
        <v>1.3115000000000001</v>
      </c>
      <c r="K20" s="5">
        <f t="shared" si="7"/>
        <v>4.0876104253538807</v>
      </c>
      <c r="L20" s="5">
        <f t="shared" si="8"/>
        <v>4.0240654705432366</v>
      </c>
      <c r="M20" s="5">
        <f t="shared" si="9"/>
        <v>4.1520989787077882</v>
      </c>
      <c r="N20" s="5">
        <f t="shared" si="10"/>
        <v>6.354495481064415E-2</v>
      </c>
      <c r="O20" s="5">
        <f t="shared" si="11"/>
        <v>6.4488553353907463E-2</v>
      </c>
    </row>
    <row r="21" spans="1:15" ht="15.6" customHeight="1" x14ac:dyDescent="0.3">
      <c r="A21" s="3">
        <v>1</v>
      </c>
      <c r="B21" s="3">
        <v>149</v>
      </c>
      <c r="C21" s="3">
        <v>400</v>
      </c>
      <c r="D21" s="4">
        <v>0.18</v>
      </c>
      <c r="E21" s="3">
        <v>10</v>
      </c>
      <c r="F21" s="4">
        <v>0</v>
      </c>
      <c r="G21" s="4">
        <v>184.14</v>
      </c>
      <c r="H21" s="4">
        <v>22.15</v>
      </c>
      <c r="I21" s="4"/>
      <c r="J21" s="4">
        <f t="shared" si="6"/>
        <v>1.1074999999999999</v>
      </c>
      <c r="K21" s="5">
        <f t="shared" si="7"/>
        <v>3.8515938431647028</v>
      </c>
      <c r="L21" s="5">
        <f t="shared" si="8"/>
        <v>3.8006972557592782</v>
      </c>
      <c r="M21" s="5">
        <f t="shared" si="9"/>
        <v>3.9030939869203469</v>
      </c>
      <c r="N21" s="5">
        <f t="shared" si="10"/>
        <v>5.0896587405424576E-2</v>
      </c>
      <c r="O21" s="5">
        <f t="shared" si="11"/>
        <v>5.1500143755644157E-2</v>
      </c>
    </row>
    <row r="22" spans="1:15" ht="15.6" customHeight="1" x14ac:dyDescent="0.3">
      <c r="A22" s="3">
        <v>1</v>
      </c>
      <c r="B22" s="3">
        <v>149</v>
      </c>
      <c r="C22" s="3">
        <v>400</v>
      </c>
      <c r="D22" s="4">
        <v>0.19</v>
      </c>
      <c r="E22" s="3">
        <v>10</v>
      </c>
      <c r="F22" s="4">
        <v>0</v>
      </c>
      <c r="G22" s="4">
        <v>191.09</v>
      </c>
      <c r="H22" s="4">
        <v>20.72</v>
      </c>
      <c r="I22" s="4"/>
      <c r="J22" s="4">
        <f t="shared" si="6"/>
        <v>1.036</v>
      </c>
      <c r="K22" s="5">
        <f t="shared" si="7"/>
        <v>3.690695627040987</v>
      </c>
      <c r="L22" s="5">
        <f t="shared" si="8"/>
        <v>3.6447901103443483</v>
      </c>
      <c r="M22" s="5">
        <f t="shared" si="9"/>
        <v>3.7370915596628547</v>
      </c>
      <c r="N22" s="5">
        <f t="shared" si="10"/>
        <v>4.5905516696638671E-2</v>
      </c>
      <c r="O22" s="5">
        <f t="shared" si="11"/>
        <v>4.6395932621867697E-2</v>
      </c>
    </row>
    <row r="23" spans="1:15" ht="15.6" customHeight="1" x14ac:dyDescent="0.3">
      <c r="A23" s="3">
        <v>1</v>
      </c>
      <c r="B23" s="3">
        <v>149</v>
      </c>
      <c r="C23" s="3">
        <v>400</v>
      </c>
      <c r="D23" s="4">
        <v>0.2</v>
      </c>
      <c r="E23" s="3">
        <v>10</v>
      </c>
      <c r="F23" s="4">
        <v>0</v>
      </c>
      <c r="G23" s="4">
        <v>192.99</v>
      </c>
      <c r="H23" s="4">
        <v>18.149999999999999</v>
      </c>
      <c r="I23" s="4"/>
      <c r="J23" s="4">
        <f t="shared" si="6"/>
        <v>0.90749999999999997</v>
      </c>
      <c r="K23" s="5">
        <f t="shared" si="7"/>
        <v>3.6477271701190594</v>
      </c>
      <c r="L23" s="5">
        <f t="shared" si="8"/>
        <v>3.6078835759898826</v>
      </c>
      <c r="M23" s="5">
        <f t="shared" si="9"/>
        <v>3.6879396896469641</v>
      </c>
      <c r="N23" s="5">
        <f t="shared" si="10"/>
        <v>3.9843594129176818E-2</v>
      </c>
      <c r="O23" s="5">
        <f t="shared" si="11"/>
        <v>4.0212519527904611E-2</v>
      </c>
    </row>
    <row r="24" spans="1:15" ht="15.6" customHeight="1" x14ac:dyDescent="0.3">
      <c r="A24" s="13" t="s">
        <v>15</v>
      </c>
      <c r="B24" s="7"/>
      <c r="C24" s="7"/>
      <c r="D24" s="8"/>
      <c r="E24" s="7"/>
      <c r="F24" s="8"/>
      <c r="G24" s="8"/>
      <c r="H24" s="8"/>
      <c r="I24" s="8"/>
      <c r="J24" s="9"/>
      <c r="K24" s="10"/>
      <c r="L24" s="10"/>
      <c r="M24" s="10"/>
      <c r="N24" s="10"/>
      <c r="O24" s="10"/>
    </row>
    <row r="25" spans="1:15" ht="15.6" customHeight="1" x14ac:dyDescent="0.3">
      <c r="A25" s="3"/>
      <c r="B25" s="3"/>
      <c r="C25" s="3"/>
      <c r="D25" s="4"/>
      <c r="E25" s="3"/>
      <c r="F25" s="4"/>
      <c r="G25" s="4"/>
      <c r="H25" s="4"/>
      <c r="I25" s="4"/>
      <c r="J25" s="4" t="e">
        <f t="shared" ref="J25:J40" si="12">H25/SQRT(C25)</f>
        <v>#DIV/0!</v>
      </c>
      <c r="K25" s="5" t="e">
        <f t="shared" ref="K25:K40" si="13">-10*LOG10(G25/(B25*3))</f>
        <v>#DIV/0!</v>
      </c>
      <c r="L25" s="5" t="e">
        <f t="shared" ref="L25:L40" si="14">-10*LOG10((G25+1.96*J25)/(B25*3))</f>
        <v>#DIV/0!</v>
      </c>
      <c r="M25" s="5" t="e">
        <f t="shared" ref="M25:M40" si="15">-10*LOG10((G25-1.96*J25)/(B25*3))</f>
        <v>#DIV/0!</v>
      </c>
      <c r="N25" s="5" t="e">
        <f t="shared" ref="N25:N40" si="16">K25-L25</f>
        <v>#DIV/0!</v>
      </c>
      <c r="O25" s="5" t="e">
        <f t="shared" ref="O25:O40" si="17">M25-K25</f>
        <v>#DIV/0!</v>
      </c>
    </row>
    <row r="26" spans="1:15" ht="15.6" customHeight="1" x14ac:dyDescent="0.3">
      <c r="A26" s="3"/>
      <c r="B26" s="3"/>
      <c r="C26" s="3"/>
      <c r="D26" s="4"/>
      <c r="E26" s="3"/>
      <c r="F26" s="3"/>
      <c r="G26" s="4"/>
      <c r="H26" s="4"/>
      <c r="I26" s="4"/>
      <c r="J26" s="4" t="e">
        <f t="shared" si="12"/>
        <v>#DIV/0!</v>
      </c>
      <c r="K26" s="5" t="e">
        <f t="shared" si="13"/>
        <v>#DIV/0!</v>
      </c>
      <c r="L26" s="5" t="e">
        <f t="shared" si="14"/>
        <v>#DIV/0!</v>
      </c>
      <c r="M26" s="5" t="e">
        <f t="shared" si="15"/>
        <v>#DIV/0!</v>
      </c>
      <c r="N26" s="5" t="e">
        <f t="shared" si="16"/>
        <v>#DIV/0!</v>
      </c>
      <c r="O26" s="5" t="e">
        <f t="shared" si="17"/>
        <v>#DIV/0!</v>
      </c>
    </row>
    <row r="27" spans="1:15" ht="15.6" customHeight="1" x14ac:dyDescent="0.3">
      <c r="A27" s="3"/>
      <c r="B27" s="3"/>
      <c r="C27" s="3"/>
      <c r="D27" s="4"/>
      <c r="E27" s="3"/>
      <c r="F27" s="4"/>
      <c r="G27" s="4"/>
      <c r="H27" s="4"/>
      <c r="I27" s="4"/>
      <c r="J27" s="4" t="e">
        <f t="shared" si="12"/>
        <v>#DIV/0!</v>
      </c>
      <c r="K27" s="5" t="e">
        <f t="shared" si="13"/>
        <v>#DIV/0!</v>
      </c>
      <c r="L27" s="5" t="e">
        <f t="shared" si="14"/>
        <v>#DIV/0!</v>
      </c>
      <c r="M27" s="5" t="e">
        <f t="shared" si="15"/>
        <v>#DIV/0!</v>
      </c>
      <c r="N27" s="5" t="e">
        <f t="shared" si="16"/>
        <v>#DIV/0!</v>
      </c>
      <c r="O27" s="5" t="e">
        <f t="shared" si="17"/>
        <v>#DIV/0!</v>
      </c>
    </row>
    <row r="28" spans="1:15" ht="15.6" customHeight="1" x14ac:dyDescent="0.3">
      <c r="A28" s="3"/>
      <c r="B28" s="3"/>
      <c r="C28" s="3"/>
      <c r="D28" s="4"/>
      <c r="E28" s="3"/>
      <c r="F28" s="4"/>
      <c r="G28" s="4"/>
      <c r="H28" s="4"/>
      <c r="I28" s="4"/>
      <c r="J28" s="4" t="e">
        <f t="shared" si="12"/>
        <v>#DIV/0!</v>
      </c>
      <c r="K28" s="5" t="e">
        <f t="shared" si="13"/>
        <v>#DIV/0!</v>
      </c>
      <c r="L28" s="5" t="e">
        <f t="shared" si="14"/>
        <v>#DIV/0!</v>
      </c>
      <c r="M28" s="5" t="e">
        <f t="shared" si="15"/>
        <v>#DIV/0!</v>
      </c>
      <c r="N28" s="5" t="e">
        <f t="shared" si="16"/>
        <v>#DIV/0!</v>
      </c>
      <c r="O28" s="5" t="e">
        <f t="shared" si="17"/>
        <v>#DIV/0!</v>
      </c>
    </row>
    <row r="29" spans="1:15" ht="15.6" customHeight="1" x14ac:dyDescent="0.3">
      <c r="A29" s="3"/>
      <c r="B29" s="3"/>
      <c r="C29" s="3"/>
      <c r="D29" s="4"/>
      <c r="E29" s="3"/>
      <c r="F29" s="4"/>
      <c r="G29" s="4"/>
      <c r="H29" s="4"/>
      <c r="I29" s="4"/>
      <c r="J29" s="4" t="e">
        <f t="shared" si="12"/>
        <v>#DIV/0!</v>
      </c>
      <c r="K29" s="5" t="e">
        <f t="shared" si="13"/>
        <v>#DIV/0!</v>
      </c>
      <c r="L29" s="5" t="e">
        <f t="shared" si="14"/>
        <v>#DIV/0!</v>
      </c>
      <c r="M29" s="5" t="e">
        <f t="shared" si="15"/>
        <v>#DIV/0!</v>
      </c>
      <c r="N29" s="5" t="e">
        <f t="shared" si="16"/>
        <v>#DIV/0!</v>
      </c>
      <c r="O29" s="5" t="e">
        <f t="shared" si="17"/>
        <v>#DIV/0!</v>
      </c>
    </row>
    <row r="30" spans="1:15" ht="15.6" customHeight="1" x14ac:dyDescent="0.3">
      <c r="A30" s="3"/>
      <c r="B30" s="3"/>
      <c r="C30" s="3"/>
      <c r="D30" s="4"/>
      <c r="E30" s="3"/>
      <c r="F30" s="4"/>
      <c r="G30" s="4"/>
      <c r="H30" s="4"/>
      <c r="I30" s="4"/>
      <c r="J30" s="4" t="e">
        <f t="shared" si="12"/>
        <v>#DIV/0!</v>
      </c>
      <c r="K30" s="5" t="e">
        <f t="shared" si="13"/>
        <v>#DIV/0!</v>
      </c>
      <c r="L30" s="5" t="e">
        <f t="shared" si="14"/>
        <v>#DIV/0!</v>
      </c>
      <c r="M30" s="5" t="e">
        <f t="shared" si="15"/>
        <v>#DIV/0!</v>
      </c>
      <c r="N30" s="5" t="e">
        <f t="shared" si="16"/>
        <v>#DIV/0!</v>
      </c>
      <c r="O30" s="5" t="e">
        <f t="shared" si="17"/>
        <v>#DIV/0!</v>
      </c>
    </row>
    <row r="31" spans="1:15" ht="15.6" customHeight="1" x14ac:dyDescent="0.3">
      <c r="A31" s="3"/>
      <c r="B31" s="3"/>
      <c r="C31" s="3"/>
      <c r="D31" s="4"/>
      <c r="E31" s="3"/>
      <c r="F31" s="4"/>
      <c r="G31" s="4"/>
      <c r="H31" s="4"/>
      <c r="I31" s="4"/>
      <c r="J31" s="4" t="e">
        <f t="shared" si="12"/>
        <v>#DIV/0!</v>
      </c>
      <c r="K31" s="5" t="e">
        <f t="shared" si="13"/>
        <v>#DIV/0!</v>
      </c>
      <c r="L31" s="5" t="e">
        <f t="shared" si="14"/>
        <v>#DIV/0!</v>
      </c>
      <c r="M31" s="5" t="e">
        <f t="shared" si="15"/>
        <v>#DIV/0!</v>
      </c>
      <c r="N31" s="5" t="e">
        <f t="shared" si="16"/>
        <v>#DIV/0!</v>
      </c>
      <c r="O31" s="5" t="e">
        <f t="shared" si="17"/>
        <v>#DIV/0!</v>
      </c>
    </row>
    <row r="32" spans="1:15" ht="15.6" customHeight="1" x14ac:dyDescent="0.3">
      <c r="A32" s="3"/>
      <c r="B32" s="3"/>
      <c r="C32" s="3"/>
      <c r="D32" s="4"/>
      <c r="E32" s="3"/>
      <c r="F32" s="4"/>
      <c r="G32" s="4"/>
      <c r="H32" s="4"/>
      <c r="I32" s="4"/>
      <c r="J32" s="4" t="e">
        <f t="shared" si="12"/>
        <v>#DIV/0!</v>
      </c>
      <c r="K32" s="5" t="e">
        <f t="shared" si="13"/>
        <v>#DIV/0!</v>
      </c>
      <c r="L32" s="5" t="e">
        <f t="shared" si="14"/>
        <v>#DIV/0!</v>
      </c>
      <c r="M32" s="5" t="e">
        <f t="shared" si="15"/>
        <v>#DIV/0!</v>
      </c>
      <c r="N32" s="5" t="e">
        <f t="shared" si="16"/>
        <v>#DIV/0!</v>
      </c>
      <c r="O32" s="5" t="e">
        <f t="shared" si="17"/>
        <v>#DIV/0!</v>
      </c>
    </row>
    <row r="33" spans="1:15" ht="15.6" customHeight="1" x14ac:dyDescent="0.3">
      <c r="A33" s="3"/>
      <c r="B33" s="3"/>
      <c r="C33" s="3"/>
      <c r="D33" s="4"/>
      <c r="E33" s="3"/>
      <c r="F33" s="3"/>
      <c r="G33" s="4"/>
      <c r="H33" s="4"/>
      <c r="I33" s="4"/>
      <c r="J33" s="4" t="e">
        <f t="shared" si="12"/>
        <v>#DIV/0!</v>
      </c>
      <c r="K33" s="5" t="e">
        <f t="shared" si="13"/>
        <v>#DIV/0!</v>
      </c>
      <c r="L33" s="5" t="e">
        <f t="shared" si="14"/>
        <v>#DIV/0!</v>
      </c>
      <c r="M33" s="5" t="e">
        <f t="shared" si="15"/>
        <v>#DIV/0!</v>
      </c>
      <c r="N33" s="5" t="e">
        <f t="shared" si="16"/>
        <v>#DIV/0!</v>
      </c>
      <c r="O33" s="5" t="e">
        <f t="shared" si="17"/>
        <v>#DIV/0!</v>
      </c>
    </row>
    <row r="34" spans="1:15" ht="15.6" customHeight="1" x14ac:dyDescent="0.3">
      <c r="A34" s="3"/>
      <c r="B34" s="3"/>
      <c r="C34" s="3"/>
      <c r="D34" s="4"/>
      <c r="E34" s="3"/>
      <c r="F34" s="4"/>
      <c r="G34" s="4"/>
      <c r="H34" s="4"/>
      <c r="I34" s="4"/>
      <c r="J34" s="4" t="e">
        <f t="shared" si="12"/>
        <v>#DIV/0!</v>
      </c>
      <c r="K34" s="5" t="e">
        <f t="shared" si="13"/>
        <v>#DIV/0!</v>
      </c>
      <c r="L34" s="5" t="e">
        <f t="shared" si="14"/>
        <v>#DIV/0!</v>
      </c>
      <c r="M34" s="5" t="e">
        <f t="shared" si="15"/>
        <v>#DIV/0!</v>
      </c>
      <c r="N34" s="5" t="e">
        <f t="shared" si="16"/>
        <v>#DIV/0!</v>
      </c>
      <c r="O34" s="5" t="e">
        <f t="shared" si="17"/>
        <v>#DIV/0!</v>
      </c>
    </row>
    <row r="35" spans="1:15" ht="15.6" customHeight="1" x14ac:dyDescent="0.3">
      <c r="A35" s="3"/>
      <c r="B35" s="3"/>
      <c r="C35" s="3"/>
      <c r="D35" s="4"/>
      <c r="E35" s="3"/>
      <c r="F35" s="3"/>
      <c r="G35" s="4"/>
      <c r="H35" s="4"/>
      <c r="I35" s="4"/>
      <c r="J35" s="4" t="e">
        <f t="shared" si="12"/>
        <v>#DIV/0!</v>
      </c>
      <c r="K35" s="5" t="e">
        <f t="shared" si="13"/>
        <v>#DIV/0!</v>
      </c>
      <c r="L35" s="5" t="e">
        <f t="shared" si="14"/>
        <v>#DIV/0!</v>
      </c>
      <c r="M35" s="5" t="e">
        <f t="shared" si="15"/>
        <v>#DIV/0!</v>
      </c>
      <c r="N35" s="5" t="e">
        <f t="shared" si="16"/>
        <v>#DIV/0!</v>
      </c>
      <c r="O35" s="5" t="e">
        <f t="shared" si="17"/>
        <v>#DIV/0!</v>
      </c>
    </row>
    <row r="36" spans="1:15" ht="15.6" customHeight="1" x14ac:dyDescent="0.3">
      <c r="A36" s="3"/>
      <c r="B36" s="3"/>
      <c r="C36" s="3"/>
      <c r="D36" s="4"/>
      <c r="E36" s="3"/>
      <c r="F36" s="3"/>
      <c r="G36" s="4"/>
      <c r="H36" s="4"/>
      <c r="I36" s="4"/>
      <c r="J36" s="4" t="e">
        <f t="shared" si="12"/>
        <v>#DIV/0!</v>
      </c>
      <c r="K36" s="5" t="e">
        <f t="shared" si="13"/>
        <v>#DIV/0!</v>
      </c>
      <c r="L36" s="5" t="e">
        <f t="shared" si="14"/>
        <v>#DIV/0!</v>
      </c>
      <c r="M36" s="5" t="e">
        <f t="shared" si="15"/>
        <v>#DIV/0!</v>
      </c>
      <c r="N36" s="5" t="e">
        <f t="shared" si="16"/>
        <v>#DIV/0!</v>
      </c>
      <c r="O36" s="5" t="e">
        <f t="shared" si="17"/>
        <v>#DIV/0!</v>
      </c>
    </row>
    <row r="37" spans="1:15" ht="15.6" customHeight="1" x14ac:dyDescent="0.3">
      <c r="A37" s="3"/>
      <c r="B37" s="3"/>
      <c r="C37" s="3"/>
      <c r="D37" s="4"/>
      <c r="E37" s="3"/>
      <c r="F37" s="4"/>
      <c r="G37" s="4"/>
      <c r="H37" s="4"/>
      <c r="I37" s="4"/>
      <c r="J37" s="4" t="e">
        <f t="shared" si="12"/>
        <v>#DIV/0!</v>
      </c>
      <c r="K37" s="5" t="e">
        <f t="shared" si="13"/>
        <v>#DIV/0!</v>
      </c>
      <c r="L37" s="5" t="e">
        <f t="shared" si="14"/>
        <v>#DIV/0!</v>
      </c>
      <c r="M37" s="5" t="e">
        <f t="shared" si="15"/>
        <v>#DIV/0!</v>
      </c>
      <c r="N37" s="5" t="e">
        <f t="shared" si="16"/>
        <v>#DIV/0!</v>
      </c>
      <c r="O37" s="5" t="e">
        <f t="shared" si="17"/>
        <v>#DIV/0!</v>
      </c>
    </row>
    <row r="38" spans="1:15" ht="15.6" customHeight="1" x14ac:dyDescent="0.3">
      <c r="A38" s="3"/>
      <c r="B38" s="3"/>
      <c r="C38" s="3"/>
      <c r="D38" s="4"/>
      <c r="E38" s="3"/>
      <c r="F38" s="4"/>
      <c r="G38" s="4"/>
      <c r="H38" s="4"/>
      <c r="I38" s="4"/>
      <c r="J38" s="4" t="e">
        <f t="shared" si="12"/>
        <v>#DIV/0!</v>
      </c>
      <c r="K38" s="5" t="e">
        <f t="shared" si="13"/>
        <v>#DIV/0!</v>
      </c>
      <c r="L38" s="5" t="e">
        <f t="shared" si="14"/>
        <v>#DIV/0!</v>
      </c>
      <c r="M38" s="5" t="e">
        <f t="shared" si="15"/>
        <v>#DIV/0!</v>
      </c>
      <c r="N38" s="5" t="e">
        <f t="shared" si="16"/>
        <v>#DIV/0!</v>
      </c>
      <c r="O38" s="5" t="e">
        <f t="shared" si="17"/>
        <v>#DIV/0!</v>
      </c>
    </row>
    <row r="39" spans="1:15" ht="15.6" customHeight="1" x14ac:dyDescent="0.3">
      <c r="A39" s="3"/>
      <c r="B39" s="3"/>
      <c r="C39" s="3"/>
      <c r="D39" s="4"/>
      <c r="E39" s="3"/>
      <c r="F39" s="4"/>
      <c r="G39" s="4"/>
      <c r="H39" s="4"/>
      <c r="I39" s="4"/>
      <c r="J39" s="4" t="e">
        <f t="shared" si="12"/>
        <v>#DIV/0!</v>
      </c>
      <c r="K39" s="5" t="e">
        <f t="shared" si="13"/>
        <v>#DIV/0!</v>
      </c>
      <c r="L39" s="5" t="e">
        <f t="shared" si="14"/>
        <v>#DIV/0!</v>
      </c>
      <c r="M39" s="5" t="e">
        <f t="shared" si="15"/>
        <v>#DIV/0!</v>
      </c>
      <c r="N39" s="5" t="e">
        <f t="shared" si="16"/>
        <v>#DIV/0!</v>
      </c>
      <c r="O39" s="5" t="e">
        <f t="shared" si="17"/>
        <v>#DIV/0!</v>
      </c>
    </row>
    <row r="40" spans="1:15" ht="15.6" customHeight="1" x14ac:dyDescent="0.3">
      <c r="A40" s="3"/>
      <c r="B40" s="3"/>
      <c r="C40" s="3"/>
      <c r="D40" s="4"/>
      <c r="E40" s="3"/>
      <c r="F40" s="4"/>
      <c r="G40" s="4"/>
      <c r="H40" s="4"/>
      <c r="I40" s="4"/>
      <c r="J40" s="4" t="e">
        <f t="shared" si="12"/>
        <v>#DIV/0!</v>
      </c>
      <c r="K40" s="5" t="e">
        <f t="shared" si="13"/>
        <v>#DIV/0!</v>
      </c>
      <c r="L40" s="5" t="e">
        <f t="shared" si="14"/>
        <v>#DIV/0!</v>
      </c>
      <c r="M40" s="5" t="e">
        <f t="shared" si="15"/>
        <v>#DIV/0!</v>
      </c>
      <c r="N40" s="5" t="e">
        <f t="shared" si="16"/>
        <v>#DIV/0!</v>
      </c>
      <c r="O40" s="5" t="e">
        <f t="shared" si="17"/>
        <v>#DIV/0!</v>
      </c>
    </row>
    <row r="41" spans="1:15" ht="15.6" customHeight="1" x14ac:dyDescent="0.3">
      <c r="A41" s="3"/>
      <c r="B41" s="3"/>
      <c r="C41" s="3"/>
      <c r="D41" s="4"/>
      <c r="E41" s="3"/>
      <c r="F41" s="4"/>
      <c r="G41" s="4"/>
      <c r="H41" s="4"/>
      <c r="I41" s="4"/>
      <c r="J41" s="4" t="e">
        <f t="shared" ref="J41:J45" si="18">H41/SQRT(C41)</f>
        <v>#DIV/0!</v>
      </c>
      <c r="K41" s="5" t="e">
        <f t="shared" ref="K41:K45" si="19">-10*LOG10(G41/(B41*3))</f>
        <v>#DIV/0!</v>
      </c>
      <c r="L41" s="5" t="e">
        <f t="shared" ref="L41:L45" si="20">-10*LOG10((G41+1.96*J41)/(B41*3))</f>
        <v>#DIV/0!</v>
      </c>
      <c r="M41" s="5" t="e">
        <f t="shared" ref="M41:M45" si="21">-10*LOG10((G41-1.96*J41)/(B41*3))</f>
        <v>#DIV/0!</v>
      </c>
      <c r="N41" s="5" t="e">
        <f t="shared" ref="N41:N45" si="22">K41-L41</f>
        <v>#DIV/0!</v>
      </c>
      <c r="O41" s="5" t="e">
        <f t="shared" ref="O41:O45" si="23">M41-K41</f>
        <v>#DIV/0!</v>
      </c>
    </row>
    <row r="42" spans="1:15" ht="15.6" customHeight="1" x14ac:dyDescent="0.3">
      <c r="A42" s="3"/>
      <c r="B42" s="3"/>
      <c r="C42" s="3"/>
      <c r="D42" s="4"/>
      <c r="E42" s="3"/>
      <c r="F42" s="4"/>
      <c r="G42" s="4"/>
      <c r="H42" s="4"/>
      <c r="I42" s="4"/>
      <c r="J42" s="4" t="e">
        <f t="shared" si="18"/>
        <v>#DIV/0!</v>
      </c>
      <c r="K42" s="5" t="e">
        <f t="shared" si="19"/>
        <v>#DIV/0!</v>
      </c>
      <c r="L42" s="5" t="e">
        <f t="shared" si="20"/>
        <v>#DIV/0!</v>
      </c>
      <c r="M42" s="5" t="e">
        <f t="shared" si="21"/>
        <v>#DIV/0!</v>
      </c>
      <c r="N42" s="5" t="e">
        <f t="shared" si="22"/>
        <v>#DIV/0!</v>
      </c>
      <c r="O42" s="5" t="e">
        <f t="shared" si="23"/>
        <v>#DIV/0!</v>
      </c>
    </row>
    <row r="43" spans="1:15" ht="15.6" customHeight="1" x14ac:dyDescent="0.3">
      <c r="A43" s="3"/>
      <c r="B43" s="3"/>
      <c r="C43" s="3"/>
      <c r="D43" s="4"/>
      <c r="E43" s="3"/>
      <c r="F43" s="4"/>
      <c r="G43" s="4"/>
      <c r="H43" s="4"/>
      <c r="I43" s="4"/>
      <c r="J43" s="4" t="e">
        <f t="shared" si="18"/>
        <v>#DIV/0!</v>
      </c>
      <c r="K43" s="5" t="e">
        <f t="shared" si="19"/>
        <v>#DIV/0!</v>
      </c>
      <c r="L43" s="5" t="e">
        <f t="shared" si="20"/>
        <v>#DIV/0!</v>
      </c>
      <c r="M43" s="5" t="e">
        <f t="shared" si="21"/>
        <v>#DIV/0!</v>
      </c>
      <c r="N43" s="5" t="e">
        <f t="shared" si="22"/>
        <v>#DIV/0!</v>
      </c>
      <c r="O43" s="5" t="e">
        <f t="shared" si="23"/>
        <v>#DIV/0!</v>
      </c>
    </row>
    <row r="44" spans="1:15" ht="15.6" customHeight="1" x14ac:dyDescent="0.3">
      <c r="A44" s="3"/>
      <c r="B44" s="3"/>
      <c r="C44" s="3"/>
      <c r="D44" s="4"/>
      <c r="E44" s="3"/>
      <c r="F44" s="4"/>
      <c r="G44" s="4"/>
      <c r="H44" s="4"/>
      <c r="I44" s="4"/>
      <c r="J44" s="4" t="e">
        <f t="shared" si="18"/>
        <v>#DIV/0!</v>
      </c>
      <c r="K44" s="5" t="e">
        <f t="shared" si="19"/>
        <v>#DIV/0!</v>
      </c>
      <c r="L44" s="5" t="e">
        <f t="shared" si="20"/>
        <v>#DIV/0!</v>
      </c>
      <c r="M44" s="5" t="e">
        <f t="shared" si="21"/>
        <v>#DIV/0!</v>
      </c>
      <c r="N44" s="5" t="e">
        <f t="shared" si="22"/>
        <v>#DIV/0!</v>
      </c>
      <c r="O44" s="5" t="e">
        <f t="shared" si="23"/>
        <v>#DIV/0!</v>
      </c>
    </row>
    <row r="45" spans="1:15" ht="15.6" customHeight="1" x14ac:dyDescent="0.3">
      <c r="A45" s="3"/>
      <c r="B45" s="3"/>
      <c r="C45" s="3"/>
      <c r="D45" s="4"/>
      <c r="E45" s="3"/>
      <c r="F45" s="4"/>
      <c r="G45" s="4"/>
      <c r="H45" s="4"/>
      <c r="I45" s="4"/>
      <c r="J45" s="4" t="e">
        <f t="shared" si="18"/>
        <v>#DIV/0!</v>
      </c>
      <c r="K45" s="5" t="e">
        <f t="shared" si="19"/>
        <v>#DIV/0!</v>
      </c>
      <c r="L45" s="5" t="e">
        <f t="shared" si="20"/>
        <v>#DIV/0!</v>
      </c>
      <c r="M45" s="5" t="e">
        <f t="shared" si="21"/>
        <v>#DIV/0!</v>
      </c>
      <c r="N45" s="5" t="e">
        <f t="shared" si="22"/>
        <v>#DIV/0!</v>
      </c>
      <c r="O45" s="5" t="e">
        <f t="shared" si="23"/>
        <v>#DIV/0!</v>
      </c>
    </row>
    <row r="46" spans="1:15" ht="15.6" customHeight="1" x14ac:dyDescent="0.3">
      <c r="A46" s="13" t="s">
        <v>16</v>
      </c>
      <c r="B46" s="7"/>
      <c r="C46" s="7"/>
      <c r="D46" s="8"/>
      <c r="E46" s="7"/>
      <c r="F46" s="8"/>
      <c r="G46" s="8"/>
      <c r="H46" s="8"/>
      <c r="I46" s="8"/>
      <c r="J46" s="9"/>
      <c r="K46" s="10"/>
      <c r="L46" s="10"/>
      <c r="M46" s="10"/>
      <c r="N46" s="10"/>
      <c r="O46" s="10"/>
    </row>
    <row r="47" spans="1:15" ht="15.6" customHeight="1" x14ac:dyDescent="0.3">
      <c r="J47" s="4" t="e">
        <f t="shared" ref="J47:J62" si="24">H47/SQRT(C47)</f>
        <v>#DIV/0!</v>
      </c>
      <c r="K47" s="5" t="e">
        <f t="shared" ref="K47:K62" si="25">-10*LOG10(G47/(B47*3))</f>
        <v>#DIV/0!</v>
      </c>
      <c r="L47" s="5" t="e">
        <f t="shared" ref="L47:L62" si="26">-10*LOG10((G47+1.96*J47)/(B47*3))</f>
        <v>#DIV/0!</v>
      </c>
      <c r="M47" s="5" t="e">
        <f t="shared" ref="M47:M62" si="27">-10*LOG10((G47-1.96*J47)/(B47*3))</f>
        <v>#DIV/0!</v>
      </c>
      <c r="N47" s="5" t="e">
        <f t="shared" ref="N47:N62" si="28">K47-L47</f>
        <v>#DIV/0!</v>
      </c>
      <c r="O47" s="5" t="e">
        <f t="shared" ref="O47:O62" si="29">M47-K47</f>
        <v>#DIV/0!</v>
      </c>
    </row>
    <row r="48" spans="1:15" ht="15.6" customHeight="1" x14ac:dyDescent="0.3">
      <c r="J48" s="4" t="e">
        <f t="shared" si="24"/>
        <v>#DIV/0!</v>
      </c>
      <c r="K48" s="5" t="e">
        <f t="shared" si="25"/>
        <v>#DIV/0!</v>
      </c>
      <c r="L48" s="5" t="e">
        <f t="shared" si="26"/>
        <v>#DIV/0!</v>
      </c>
      <c r="M48" s="5" t="e">
        <f t="shared" si="27"/>
        <v>#DIV/0!</v>
      </c>
      <c r="N48" s="5" t="e">
        <f t="shared" si="28"/>
        <v>#DIV/0!</v>
      </c>
      <c r="O48" s="5" t="e">
        <f t="shared" si="29"/>
        <v>#DIV/0!</v>
      </c>
    </row>
    <row r="49" spans="10:15" ht="15.6" customHeight="1" x14ac:dyDescent="0.3">
      <c r="J49" s="4" t="e">
        <f t="shared" si="24"/>
        <v>#DIV/0!</v>
      </c>
      <c r="K49" s="5" t="e">
        <f t="shared" si="25"/>
        <v>#DIV/0!</v>
      </c>
      <c r="L49" s="5" t="e">
        <f t="shared" si="26"/>
        <v>#DIV/0!</v>
      </c>
      <c r="M49" s="5" t="e">
        <f t="shared" si="27"/>
        <v>#DIV/0!</v>
      </c>
      <c r="N49" s="5" t="e">
        <f t="shared" si="28"/>
        <v>#DIV/0!</v>
      </c>
      <c r="O49" s="5" t="e">
        <f t="shared" si="29"/>
        <v>#DIV/0!</v>
      </c>
    </row>
    <row r="50" spans="10:15" ht="15.6" customHeight="1" x14ac:dyDescent="0.3">
      <c r="J50" s="4" t="e">
        <f t="shared" si="24"/>
        <v>#DIV/0!</v>
      </c>
      <c r="K50" s="5" t="e">
        <f t="shared" si="25"/>
        <v>#DIV/0!</v>
      </c>
      <c r="L50" s="5" t="e">
        <f t="shared" si="26"/>
        <v>#DIV/0!</v>
      </c>
      <c r="M50" s="5" t="e">
        <f t="shared" si="27"/>
        <v>#DIV/0!</v>
      </c>
      <c r="N50" s="5" t="e">
        <f t="shared" si="28"/>
        <v>#DIV/0!</v>
      </c>
      <c r="O50" s="5" t="e">
        <f t="shared" si="29"/>
        <v>#DIV/0!</v>
      </c>
    </row>
    <row r="51" spans="10:15" ht="15.6" customHeight="1" x14ac:dyDescent="0.3">
      <c r="J51" s="4" t="e">
        <f t="shared" si="24"/>
        <v>#DIV/0!</v>
      </c>
      <c r="K51" s="5" t="e">
        <f t="shared" si="25"/>
        <v>#DIV/0!</v>
      </c>
      <c r="L51" s="5" t="e">
        <f t="shared" si="26"/>
        <v>#DIV/0!</v>
      </c>
      <c r="M51" s="5" t="e">
        <f t="shared" si="27"/>
        <v>#DIV/0!</v>
      </c>
      <c r="N51" s="5" t="e">
        <f t="shared" si="28"/>
        <v>#DIV/0!</v>
      </c>
      <c r="O51" s="5" t="e">
        <f t="shared" si="29"/>
        <v>#DIV/0!</v>
      </c>
    </row>
    <row r="52" spans="10:15" ht="15.6" customHeight="1" x14ac:dyDescent="0.3">
      <c r="J52" s="4" t="e">
        <f t="shared" si="24"/>
        <v>#DIV/0!</v>
      </c>
      <c r="K52" s="5" t="e">
        <f t="shared" si="25"/>
        <v>#DIV/0!</v>
      </c>
      <c r="L52" s="5" t="e">
        <f t="shared" si="26"/>
        <v>#DIV/0!</v>
      </c>
      <c r="M52" s="5" t="e">
        <f t="shared" si="27"/>
        <v>#DIV/0!</v>
      </c>
      <c r="N52" s="5" t="e">
        <f t="shared" si="28"/>
        <v>#DIV/0!</v>
      </c>
      <c r="O52" s="5" t="e">
        <f t="shared" si="29"/>
        <v>#DIV/0!</v>
      </c>
    </row>
    <row r="53" spans="10:15" ht="15.6" customHeight="1" x14ac:dyDescent="0.3">
      <c r="J53" s="4" t="e">
        <f t="shared" si="24"/>
        <v>#DIV/0!</v>
      </c>
      <c r="K53" s="5" t="e">
        <f t="shared" si="25"/>
        <v>#DIV/0!</v>
      </c>
      <c r="L53" s="5" t="e">
        <f t="shared" si="26"/>
        <v>#DIV/0!</v>
      </c>
      <c r="M53" s="5" t="e">
        <f t="shared" si="27"/>
        <v>#DIV/0!</v>
      </c>
      <c r="N53" s="5" t="e">
        <f t="shared" si="28"/>
        <v>#DIV/0!</v>
      </c>
      <c r="O53" s="5" t="e">
        <f t="shared" si="29"/>
        <v>#DIV/0!</v>
      </c>
    </row>
    <row r="54" spans="10:15" ht="15.6" customHeight="1" x14ac:dyDescent="0.3">
      <c r="J54" s="4" t="e">
        <f t="shared" si="24"/>
        <v>#DIV/0!</v>
      </c>
      <c r="K54" s="5" t="e">
        <f t="shared" si="25"/>
        <v>#DIV/0!</v>
      </c>
      <c r="L54" s="5" t="e">
        <f t="shared" si="26"/>
        <v>#DIV/0!</v>
      </c>
      <c r="M54" s="5" t="e">
        <f t="shared" si="27"/>
        <v>#DIV/0!</v>
      </c>
      <c r="N54" s="5" t="e">
        <f t="shared" si="28"/>
        <v>#DIV/0!</v>
      </c>
      <c r="O54" s="5" t="e">
        <f t="shared" si="29"/>
        <v>#DIV/0!</v>
      </c>
    </row>
    <row r="55" spans="10:15" ht="15.6" customHeight="1" x14ac:dyDescent="0.3">
      <c r="J55" s="4" t="e">
        <f t="shared" si="24"/>
        <v>#DIV/0!</v>
      </c>
      <c r="K55" s="5" t="e">
        <f t="shared" si="25"/>
        <v>#DIV/0!</v>
      </c>
      <c r="L55" s="5" t="e">
        <f t="shared" si="26"/>
        <v>#DIV/0!</v>
      </c>
      <c r="M55" s="5" t="e">
        <f t="shared" si="27"/>
        <v>#DIV/0!</v>
      </c>
      <c r="N55" s="5" t="e">
        <f t="shared" si="28"/>
        <v>#DIV/0!</v>
      </c>
      <c r="O55" s="5" t="e">
        <f t="shared" si="29"/>
        <v>#DIV/0!</v>
      </c>
    </row>
    <row r="56" spans="10:15" ht="15.6" customHeight="1" x14ac:dyDescent="0.3">
      <c r="J56" s="4" t="e">
        <f t="shared" si="24"/>
        <v>#DIV/0!</v>
      </c>
      <c r="K56" s="5" t="e">
        <f t="shared" si="25"/>
        <v>#DIV/0!</v>
      </c>
      <c r="L56" s="5" t="e">
        <f t="shared" si="26"/>
        <v>#DIV/0!</v>
      </c>
      <c r="M56" s="5" t="e">
        <f t="shared" si="27"/>
        <v>#DIV/0!</v>
      </c>
      <c r="N56" s="5" t="e">
        <f t="shared" si="28"/>
        <v>#DIV/0!</v>
      </c>
      <c r="O56" s="5" t="e">
        <f t="shared" si="29"/>
        <v>#DIV/0!</v>
      </c>
    </row>
    <row r="57" spans="10:15" ht="15.6" customHeight="1" x14ac:dyDescent="0.3">
      <c r="J57" s="4" t="e">
        <f t="shared" si="24"/>
        <v>#DIV/0!</v>
      </c>
      <c r="K57" s="5" t="e">
        <f t="shared" si="25"/>
        <v>#DIV/0!</v>
      </c>
      <c r="L57" s="5" t="e">
        <f t="shared" si="26"/>
        <v>#DIV/0!</v>
      </c>
      <c r="M57" s="5" t="e">
        <f t="shared" si="27"/>
        <v>#DIV/0!</v>
      </c>
      <c r="N57" s="5" t="e">
        <f t="shared" si="28"/>
        <v>#DIV/0!</v>
      </c>
      <c r="O57" s="5" t="e">
        <f t="shared" si="29"/>
        <v>#DIV/0!</v>
      </c>
    </row>
    <row r="58" spans="10:15" ht="15.6" customHeight="1" x14ac:dyDescent="0.3">
      <c r="J58" s="4" t="e">
        <f t="shared" si="24"/>
        <v>#DIV/0!</v>
      </c>
      <c r="K58" s="5" t="e">
        <f t="shared" si="25"/>
        <v>#DIV/0!</v>
      </c>
      <c r="L58" s="5" t="e">
        <f t="shared" si="26"/>
        <v>#DIV/0!</v>
      </c>
      <c r="M58" s="5" t="e">
        <f t="shared" si="27"/>
        <v>#DIV/0!</v>
      </c>
      <c r="N58" s="5" t="e">
        <f t="shared" si="28"/>
        <v>#DIV/0!</v>
      </c>
      <c r="O58" s="5" t="e">
        <f t="shared" si="29"/>
        <v>#DIV/0!</v>
      </c>
    </row>
    <row r="59" spans="10:15" ht="15.6" customHeight="1" x14ac:dyDescent="0.3">
      <c r="J59" s="4" t="e">
        <f t="shared" si="24"/>
        <v>#DIV/0!</v>
      </c>
      <c r="K59" s="5" t="e">
        <f t="shared" si="25"/>
        <v>#DIV/0!</v>
      </c>
      <c r="L59" s="5" t="e">
        <f t="shared" si="26"/>
        <v>#DIV/0!</v>
      </c>
      <c r="M59" s="5" t="e">
        <f t="shared" si="27"/>
        <v>#DIV/0!</v>
      </c>
      <c r="N59" s="5" t="e">
        <f t="shared" si="28"/>
        <v>#DIV/0!</v>
      </c>
      <c r="O59" s="5" t="e">
        <f t="shared" si="29"/>
        <v>#DIV/0!</v>
      </c>
    </row>
    <row r="60" spans="10:15" ht="15.6" customHeight="1" x14ac:dyDescent="0.3">
      <c r="J60" s="4" t="e">
        <f t="shared" si="24"/>
        <v>#DIV/0!</v>
      </c>
      <c r="K60" s="5" t="e">
        <f t="shared" si="25"/>
        <v>#DIV/0!</v>
      </c>
      <c r="L60" s="5" t="e">
        <f t="shared" si="26"/>
        <v>#DIV/0!</v>
      </c>
      <c r="M60" s="5" t="e">
        <f t="shared" si="27"/>
        <v>#DIV/0!</v>
      </c>
      <c r="N60" s="5" t="e">
        <f t="shared" si="28"/>
        <v>#DIV/0!</v>
      </c>
      <c r="O60" s="5" t="e">
        <f t="shared" si="29"/>
        <v>#DIV/0!</v>
      </c>
    </row>
    <row r="61" spans="10:15" ht="15.6" customHeight="1" x14ac:dyDescent="0.3">
      <c r="J61" s="4" t="e">
        <f t="shared" si="24"/>
        <v>#DIV/0!</v>
      </c>
      <c r="K61" s="5" t="e">
        <f t="shared" si="25"/>
        <v>#DIV/0!</v>
      </c>
      <c r="L61" s="5" t="e">
        <f t="shared" si="26"/>
        <v>#DIV/0!</v>
      </c>
      <c r="M61" s="5" t="e">
        <f t="shared" si="27"/>
        <v>#DIV/0!</v>
      </c>
      <c r="N61" s="5" t="e">
        <f t="shared" si="28"/>
        <v>#DIV/0!</v>
      </c>
      <c r="O61" s="5" t="e">
        <f t="shared" si="29"/>
        <v>#DIV/0!</v>
      </c>
    </row>
    <row r="62" spans="10:15" ht="15.6" customHeight="1" x14ac:dyDescent="0.3">
      <c r="J62" s="4" t="e">
        <f t="shared" si="24"/>
        <v>#DIV/0!</v>
      </c>
      <c r="K62" s="5" t="e">
        <f t="shared" si="25"/>
        <v>#DIV/0!</v>
      </c>
      <c r="L62" s="5" t="e">
        <f t="shared" si="26"/>
        <v>#DIV/0!</v>
      </c>
      <c r="M62" s="5" t="e">
        <f t="shared" si="27"/>
        <v>#DIV/0!</v>
      </c>
      <c r="N62" s="5" t="e">
        <f t="shared" si="28"/>
        <v>#DIV/0!</v>
      </c>
      <c r="O62" s="5" t="e">
        <f t="shared" si="29"/>
        <v>#DIV/0!</v>
      </c>
    </row>
    <row r="63" spans="10:15" ht="15.6" customHeight="1" x14ac:dyDescent="0.3">
      <c r="J63" s="4" t="e">
        <f t="shared" ref="J63:J67" si="30">H63/SQRT(C63)</f>
        <v>#DIV/0!</v>
      </c>
      <c r="K63" s="5" t="e">
        <f t="shared" ref="K63:K67" si="31">-10*LOG10(G63/(B63*3))</f>
        <v>#DIV/0!</v>
      </c>
      <c r="L63" s="5" t="e">
        <f t="shared" ref="L63:L67" si="32">-10*LOG10((G63+1.96*J63)/(B63*3))</f>
        <v>#DIV/0!</v>
      </c>
      <c r="M63" s="5" t="e">
        <f t="shared" ref="M63:M67" si="33">-10*LOG10((G63-1.96*J63)/(B63*3))</f>
        <v>#DIV/0!</v>
      </c>
      <c r="N63" s="5" t="e">
        <f t="shared" ref="N63:N67" si="34">K63-L63</f>
        <v>#DIV/0!</v>
      </c>
      <c r="O63" s="5" t="e">
        <f t="shared" ref="O63:O67" si="35">M63-K63</f>
        <v>#DIV/0!</v>
      </c>
    </row>
    <row r="64" spans="10:15" ht="15.6" customHeight="1" x14ac:dyDescent="0.3">
      <c r="J64" s="4" t="e">
        <f t="shared" si="30"/>
        <v>#DIV/0!</v>
      </c>
      <c r="K64" s="5" t="e">
        <f t="shared" si="31"/>
        <v>#DIV/0!</v>
      </c>
      <c r="L64" s="5" t="e">
        <f t="shared" si="32"/>
        <v>#DIV/0!</v>
      </c>
      <c r="M64" s="5" t="e">
        <f t="shared" si="33"/>
        <v>#DIV/0!</v>
      </c>
      <c r="N64" s="5" t="e">
        <f t="shared" si="34"/>
        <v>#DIV/0!</v>
      </c>
      <c r="O64" s="5" t="e">
        <f t="shared" si="35"/>
        <v>#DIV/0!</v>
      </c>
    </row>
    <row r="65" spans="1:15" ht="15.6" customHeight="1" x14ac:dyDescent="0.3">
      <c r="J65" s="4" t="e">
        <f t="shared" si="30"/>
        <v>#DIV/0!</v>
      </c>
      <c r="K65" s="5" t="e">
        <f t="shared" si="31"/>
        <v>#DIV/0!</v>
      </c>
      <c r="L65" s="5" t="e">
        <f t="shared" si="32"/>
        <v>#DIV/0!</v>
      </c>
      <c r="M65" s="5" t="e">
        <f t="shared" si="33"/>
        <v>#DIV/0!</v>
      </c>
      <c r="N65" s="5" t="e">
        <f t="shared" si="34"/>
        <v>#DIV/0!</v>
      </c>
      <c r="O65" s="5" t="e">
        <f t="shared" si="35"/>
        <v>#DIV/0!</v>
      </c>
    </row>
    <row r="66" spans="1:15" ht="15.6" customHeight="1" x14ac:dyDescent="0.3">
      <c r="J66" s="4" t="e">
        <f t="shared" si="30"/>
        <v>#DIV/0!</v>
      </c>
      <c r="K66" s="5" t="e">
        <f t="shared" si="31"/>
        <v>#DIV/0!</v>
      </c>
      <c r="L66" s="5" t="e">
        <f t="shared" si="32"/>
        <v>#DIV/0!</v>
      </c>
      <c r="M66" s="5" t="e">
        <f t="shared" si="33"/>
        <v>#DIV/0!</v>
      </c>
      <c r="N66" s="5" t="e">
        <f t="shared" si="34"/>
        <v>#DIV/0!</v>
      </c>
      <c r="O66" s="5" t="e">
        <f t="shared" si="35"/>
        <v>#DIV/0!</v>
      </c>
    </row>
    <row r="67" spans="1:15" ht="15.6" customHeight="1" x14ac:dyDescent="0.3">
      <c r="J67" s="4" t="e">
        <f t="shared" si="30"/>
        <v>#DIV/0!</v>
      </c>
      <c r="K67" s="5" t="e">
        <f t="shared" si="31"/>
        <v>#DIV/0!</v>
      </c>
      <c r="L67" s="5" t="e">
        <f t="shared" si="32"/>
        <v>#DIV/0!</v>
      </c>
      <c r="M67" s="5" t="e">
        <f t="shared" si="33"/>
        <v>#DIV/0!</v>
      </c>
      <c r="N67" s="5" t="e">
        <f t="shared" si="34"/>
        <v>#DIV/0!</v>
      </c>
      <c r="O67" s="5" t="e">
        <f t="shared" si="35"/>
        <v>#DIV/0!</v>
      </c>
    </row>
    <row r="68" spans="1:15" ht="15.6" customHeight="1" x14ac:dyDescent="0.3">
      <c r="A68" s="13" t="s">
        <v>17</v>
      </c>
      <c r="B68" s="7"/>
      <c r="C68" s="7"/>
      <c r="D68" s="8"/>
      <c r="E68" s="7"/>
      <c r="F68" s="8"/>
      <c r="G68" s="8"/>
      <c r="H68" s="8"/>
      <c r="I68" s="8"/>
      <c r="J68" s="9"/>
      <c r="K68" s="10"/>
      <c r="L68" s="10"/>
      <c r="M68" s="10"/>
      <c r="N68" s="10"/>
      <c r="O68" s="10"/>
    </row>
    <row r="69" spans="1:15" ht="15.6" customHeight="1" x14ac:dyDescent="0.3">
      <c r="J69" s="4" t="e">
        <f t="shared" ref="J69:J84" si="36">H69/SQRT(C69)</f>
        <v>#DIV/0!</v>
      </c>
      <c r="K69" s="5" t="e">
        <f t="shared" ref="K69:K84" si="37">-10*LOG10(G69/(B69*3))</f>
        <v>#DIV/0!</v>
      </c>
      <c r="L69" s="5" t="e">
        <f t="shared" ref="L69:L84" si="38">-10*LOG10((G69+1.96*J69)/(B69*3))</f>
        <v>#DIV/0!</v>
      </c>
      <c r="M69" s="5" t="e">
        <f t="shared" ref="M69:M84" si="39">-10*LOG10((G69-1.96*J69)/(B69*3))</f>
        <v>#DIV/0!</v>
      </c>
      <c r="N69" s="5" t="e">
        <f t="shared" ref="N69:N84" si="40">K69-L69</f>
        <v>#DIV/0!</v>
      </c>
      <c r="O69" s="5" t="e">
        <f t="shared" ref="O69:O84" si="41">M69-K69</f>
        <v>#DIV/0!</v>
      </c>
    </row>
    <row r="70" spans="1:15" ht="15.6" customHeight="1" x14ac:dyDescent="0.3">
      <c r="A70" s="3"/>
      <c r="B70" s="3"/>
      <c r="C70" s="3"/>
      <c r="D70" s="4"/>
      <c r="E70" s="3"/>
      <c r="F70" s="4"/>
      <c r="G70" s="4"/>
      <c r="H70" s="4"/>
      <c r="I70" s="4"/>
      <c r="J70" s="4" t="e">
        <f t="shared" si="36"/>
        <v>#DIV/0!</v>
      </c>
      <c r="K70" s="5" t="e">
        <f t="shared" si="37"/>
        <v>#DIV/0!</v>
      </c>
      <c r="L70" s="5" t="e">
        <f t="shared" si="38"/>
        <v>#DIV/0!</v>
      </c>
      <c r="M70" s="5" t="e">
        <f t="shared" si="39"/>
        <v>#DIV/0!</v>
      </c>
      <c r="N70" s="5" t="e">
        <f t="shared" si="40"/>
        <v>#DIV/0!</v>
      </c>
      <c r="O70" s="5" t="e">
        <f t="shared" si="41"/>
        <v>#DIV/0!</v>
      </c>
    </row>
    <row r="71" spans="1:15" ht="15.6" customHeight="1" x14ac:dyDescent="0.3">
      <c r="A71" s="3"/>
      <c r="B71" s="3"/>
      <c r="C71" s="3"/>
      <c r="D71" s="4"/>
      <c r="E71" s="3"/>
      <c r="F71" s="4"/>
      <c r="G71" s="4"/>
      <c r="H71" s="4"/>
      <c r="I71" s="4"/>
      <c r="J71" s="4" t="e">
        <f t="shared" si="36"/>
        <v>#DIV/0!</v>
      </c>
      <c r="K71" s="5" t="e">
        <f t="shared" si="37"/>
        <v>#DIV/0!</v>
      </c>
      <c r="L71" s="5" t="e">
        <f t="shared" si="38"/>
        <v>#DIV/0!</v>
      </c>
      <c r="M71" s="5" t="e">
        <f t="shared" si="39"/>
        <v>#DIV/0!</v>
      </c>
      <c r="N71" s="5" t="e">
        <f t="shared" si="40"/>
        <v>#DIV/0!</v>
      </c>
      <c r="O71" s="5" t="e">
        <f t="shared" si="41"/>
        <v>#DIV/0!</v>
      </c>
    </row>
    <row r="72" spans="1:15" ht="15.6" customHeight="1" x14ac:dyDescent="0.3">
      <c r="A72" s="3"/>
      <c r="B72" s="3"/>
      <c r="C72" s="3"/>
      <c r="D72" s="4"/>
      <c r="E72" s="3"/>
      <c r="F72" s="4"/>
      <c r="G72" s="4"/>
      <c r="H72" s="4"/>
      <c r="I72" s="4"/>
      <c r="J72" s="4" t="e">
        <f t="shared" si="36"/>
        <v>#DIV/0!</v>
      </c>
      <c r="K72" s="5" t="e">
        <f t="shared" si="37"/>
        <v>#DIV/0!</v>
      </c>
      <c r="L72" s="5" t="e">
        <f t="shared" si="38"/>
        <v>#DIV/0!</v>
      </c>
      <c r="M72" s="5" t="e">
        <f t="shared" si="39"/>
        <v>#DIV/0!</v>
      </c>
      <c r="N72" s="5" t="e">
        <f t="shared" si="40"/>
        <v>#DIV/0!</v>
      </c>
      <c r="O72" s="5" t="e">
        <f t="shared" si="41"/>
        <v>#DIV/0!</v>
      </c>
    </row>
    <row r="73" spans="1:15" ht="15.6" customHeight="1" x14ac:dyDescent="0.3">
      <c r="A73" s="3"/>
      <c r="B73" s="3"/>
      <c r="C73" s="3"/>
      <c r="D73" s="4"/>
      <c r="E73" s="3"/>
      <c r="F73" s="4"/>
      <c r="G73" s="4"/>
      <c r="H73" s="4"/>
      <c r="I73" s="4"/>
      <c r="J73" s="4" t="e">
        <f t="shared" si="36"/>
        <v>#DIV/0!</v>
      </c>
      <c r="K73" s="5" t="e">
        <f t="shared" si="37"/>
        <v>#DIV/0!</v>
      </c>
      <c r="L73" s="5" t="e">
        <f t="shared" si="38"/>
        <v>#DIV/0!</v>
      </c>
      <c r="M73" s="5" t="e">
        <f t="shared" si="39"/>
        <v>#DIV/0!</v>
      </c>
      <c r="N73" s="5" t="e">
        <f t="shared" si="40"/>
        <v>#DIV/0!</v>
      </c>
      <c r="O73" s="5" t="e">
        <f t="shared" si="41"/>
        <v>#DIV/0!</v>
      </c>
    </row>
    <row r="74" spans="1:15" ht="15.6" customHeight="1" x14ac:dyDescent="0.3">
      <c r="A74" s="3"/>
      <c r="B74" s="3"/>
      <c r="C74" s="3"/>
      <c r="D74" s="4"/>
      <c r="E74" s="3"/>
      <c r="F74" s="4"/>
      <c r="G74" s="4"/>
      <c r="H74" s="4"/>
      <c r="I74" s="4"/>
      <c r="J74" s="4" t="e">
        <f t="shared" si="36"/>
        <v>#DIV/0!</v>
      </c>
      <c r="K74" s="5" t="e">
        <f t="shared" si="37"/>
        <v>#DIV/0!</v>
      </c>
      <c r="L74" s="5" t="e">
        <f t="shared" si="38"/>
        <v>#DIV/0!</v>
      </c>
      <c r="M74" s="5" t="e">
        <f t="shared" si="39"/>
        <v>#DIV/0!</v>
      </c>
      <c r="N74" s="5" t="e">
        <f t="shared" si="40"/>
        <v>#DIV/0!</v>
      </c>
      <c r="O74" s="5" t="e">
        <f t="shared" si="41"/>
        <v>#DIV/0!</v>
      </c>
    </row>
    <row r="75" spans="1:15" ht="15.6" customHeight="1" x14ac:dyDescent="0.3">
      <c r="A75" s="3"/>
      <c r="B75" s="3"/>
      <c r="C75" s="3"/>
      <c r="D75" s="4"/>
      <c r="E75" s="3"/>
      <c r="F75" s="4"/>
      <c r="G75" s="4"/>
      <c r="H75" s="4"/>
      <c r="I75" s="4"/>
      <c r="J75" s="4" t="e">
        <f t="shared" si="36"/>
        <v>#DIV/0!</v>
      </c>
      <c r="K75" s="5" t="e">
        <f t="shared" si="37"/>
        <v>#DIV/0!</v>
      </c>
      <c r="L75" s="5" t="e">
        <f t="shared" si="38"/>
        <v>#DIV/0!</v>
      </c>
      <c r="M75" s="5" t="e">
        <f t="shared" si="39"/>
        <v>#DIV/0!</v>
      </c>
      <c r="N75" s="5" t="e">
        <f t="shared" si="40"/>
        <v>#DIV/0!</v>
      </c>
      <c r="O75" s="5" t="e">
        <f t="shared" si="41"/>
        <v>#DIV/0!</v>
      </c>
    </row>
    <row r="76" spans="1:15" ht="15.6" customHeight="1" x14ac:dyDescent="0.3">
      <c r="A76" s="3"/>
      <c r="B76" s="3"/>
      <c r="C76" s="3"/>
      <c r="D76" s="4"/>
      <c r="E76" s="3"/>
      <c r="F76" s="4"/>
      <c r="G76" s="4"/>
      <c r="H76" s="4"/>
      <c r="I76" s="4"/>
      <c r="J76" s="4" t="e">
        <f t="shared" si="36"/>
        <v>#DIV/0!</v>
      </c>
      <c r="K76" s="5" t="e">
        <f t="shared" si="37"/>
        <v>#DIV/0!</v>
      </c>
      <c r="L76" s="5" t="e">
        <f t="shared" si="38"/>
        <v>#DIV/0!</v>
      </c>
      <c r="M76" s="5" t="e">
        <f t="shared" si="39"/>
        <v>#DIV/0!</v>
      </c>
      <c r="N76" s="5" t="e">
        <f t="shared" si="40"/>
        <v>#DIV/0!</v>
      </c>
      <c r="O76" s="5" t="e">
        <f t="shared" si="41"/>
        <v>#DIV/0!</v>
      </c>
    </row>
    <row r="77" spans="1:15" ht="15.6" customHeight="1" x14ac:dyDescent="0.3">
      <c r="A77" s="3"/>
      <c r="B77" s="3"/>
      <c r="C77" s="3"/>
      <c r="D77" s="4"/>
      <c r="E77" s="3"/>
      <c r="F77" s="4"/>
      <c r="G77" s="4"/>
      <c r="H77" s="4"/>
      <c r="I77" s="4"/>
      <c r="J77" s="4" t="e">
        <f t="shared" si="36"/>
        <v>#DIV/0!</v>
      </c>
      <c r="K77" s="5" t="e">
        <f t="shared" si="37"/>
        <v>#DIV/0!</v>
      </c>
      <c r="L77" s="5" t="e">
        <f t="shared" si="38"/>
        <v>#DIV/0!</v>
      </c>
      <c r="M77" s="5" t="e">
        <f t="shared" si="39"/>
        <v>#DIV/0!</v>
      </c>
      <c r="N77" s="5" t="e">
        <f t="shared" si="40"/>
        <v>#DIV/0!</v>
      </c>
      <c r="O77" s="5" t="e">
        <f t="shared" si="41"/>
        <v>#DIV/0!</v>
      </c>
    </row>
    <row r="78" spans="1:15" ht="15.6" customHeight="1" x14ac:dyDescent="0.3">
      <c r="A78" s="3"/>
      <c r="B78" s="3"/>
      <c r="C78" s="3"/>
      <c r="D78" s="4"/>
      <c r="E78" s="3"/>
      <c r="F78" s="4"/>
      <c r="G78" s="4"/>
      <c r="H78" s="4"/>
      <c r="I78" s="4"/>
      <c r="J78" s="4" t="e">
        <f t="shared" si="36"/>
        <v>#DIV/0!</v>
      </c>
      <c r="K78" s="5" t="e">
        <f t="shared" si="37"/>
        <v>#DIV/0!</v>
      </c>
      <c r="L78" s="5" t="e">
        <f t="shared" si="38"/>
        <v>#DIV/0!</v>
      </c>
      <c r="M78" s="5" t="e">
        <f t="shared" si="39"/>
        <v>#DIV/0!</v>
      </c>
      <c r="N78" s="5" t="e">
        <f t="shared" si="40"/>
        <v>#DIV/0!</v>
      </c>
      <c r="O78" s="5" t="e">
        <f t="shared" si="41"/>
        <v>#DIV/0!</v>
      </c>
    </row>
    <row r="79" spans="1:15" ht="15.6" customHeight="1" x14ac:dyDescent="0.3">
      <c r="A79" s="3"/>
      <c r="B79" s="3"/>
      <c r="C79" s="3"/>
      <c r="D79" s="4"/>
      <c r="E79" s="3"/>
      <c r="F79" s="4"/>
      <c r="G79" s="4"/>
      <c r="H79" s="4"/>
      <c r="I79" s="4"/>
      <c r="J79" s="4" t="e">
        <f t="shared" si="36"/>
        <v>#DIV/0!</v>
      </c>
      <c r="K79" s="5" t="e">
        <f t="shared" si="37"/>
        <v>#DIV/0!</v>
      </c>
      <c r="L79" s="5" t="e">
        <f t="shared" si="38"/>
        <v>#DIV/0!</v>
      </c>
      <c r="M79" s="5" t="e">
        <f t="shared" si="39"/>
        <v>#DIV/0!</v>
      </c>
      <c r="N79" s="5" t="e">
        <f t="shared" si="40"/>
        <v>#DIV/0!</v>
      </c>
      <c r="O79" s="5" t="e">
        <f t="shared" si="41"/>
        <v>#DIV/0!</v>
      </c>
    </row>
    <row r="80" spans="1:15" ht="15.6" customHeight="1" x14ac:dyDescent="0.3">
      <c r="A80" s="3"/>
      <c r="B80" s="3"/>
      <c r="C80" s="3"/>
      <c r="D80" s="4"/>
      <c r="E80" s="3"/>
      <c r="F80" s="3"/>
      <c r="G80" s="4"/>
      <c r="H80" s="4"/>
      <c r="I80" s="4"/>
      <c r="J80" s="4" t="e">
        <f t="shared" si="36"/>
        <v>#DIV/0!</v>
      </c>
      <c r="K80" s="5" t="e">
        <f t="shared" si="37"/>
        <v>#DIV/0!</v>
      </c>
      <c r="L80" s="5" t="e">
        <f t="shared" si="38"/>
        <v>#DIV/0!</v>
      </c>
      <c r="M80" s="5" t="e">
        <f t="shared" si="39"/>
        <v>#DIV/0!</v>
      </c>
      <c r="N80" s="5" t="e">
        <f t="shared" si="40"/>
        <v>#DIV/0!</v>
      </c>
      <c r="O80" s="5" t="e">
        <f t="shared" si="41"/>
        <v>#DIV/0!</v>
      </c>
    </row>
    <row r="81" spans="1:15" ht="15.6" customHeight="1" x14ac:dyDescent="0.3">
      <c r="A81" s="3"/>
      <c r="B81" s="3"/>
      <c r="C81" s="3"/>
      <c r="D81" s="4"/>
      <c r="E81" s="3"/>
      <c r="F81" s="4"/>
      <c r="G81" s="4"/>
      <c r="H81" s="4"/>
      <c r="I81" s="4"/>
      <c r="J81" s="4" t="e">
        <f t="shared" si="36"/>
        <v>#DIV/0!</v>
      </c>
      <c r="K81" s="5" t="e">
        <f t="shared" si="37"/>
        <v>#DIV/0!</v>
      </c>
      <c r="L81" s="5" t="e">
        <f t="shared" si="38"/>
        <v>#DIV/0!</v>
      </c>
      <c r="M81" s="5" t="e">
        <f t="shared" si="39"/>
        <v>#DIV/0!</v>
      </c>
      <c r="N81" s="5" t="e">
        <f t="shared" si="40"/>
        <v>#DIV/0!</v>
      </c>
      <c r="O81" s="5" t="e">
        <f t="shared" si="41"/>
        <v>#DIV/0!</v>
      </c>
    </row>
    <row r="82" spans="1:15" ht="15.6" customHeight="1" x14ac:dyDescent="0.3">
      <c r="A82" s="3"/>
      <c r="B82" s="3"/>
      <c r="C82" s="3"/>
      <c r="D82" s="4"/>
      <c r="E82" s="3"/>
      <c r="F82" s="4"/>
      <c r="G82" s="4"/>
      <c r="H82" s="4"/>
      <c r="I82" s="4"/>
      <c r="J82" s="4" t="e">
        <f t="shared" si="36"/>
        <v>#DIV/0!</v>
      </c>
      <c r="K82" s="5" t="e">
        <f t="shared" si="37"/>
        <v>#DIV/0!</v>
      </c>
      <c r="L82" s="5" t="e">
        <f t="shared" si="38"/>
        <v>#DIV/0!</v>
      </c>
      <c r="M82" s="5" t="e">
        <f t="shared" si="39"/>
        <v>#DIV/0!</v>
      </c>
      <c r="N82" s="5" t="e">
        <f t="shared" si="40"/>
        <v>#DIV/0!</v>
      </c>
      <c r="O82" s="5" t="e">
        <f t="shared" si="41"/>
        <v>#DIV/0!</v>
      </c>
    </row>
    <row r="83" spans="1:15" ht="15.6" customHeight="1" x14ac:dyDescent="0.3">
      <c r="A83" s="3"/>
      <c r="B83" s="3"/>
      <c r="C83" s="3"/>
      <c r="D83" s="4"/>
      <c r="E83" s="3"/>
      <c r="F83" s="4"/>
      <c r="G83" s="4"/>
      <c r="H83" s="4"/>
      <c r="I83" s="4"/>
      <c r="J83" s="4" t="e">
        <f t="shared" si="36"/>
        <v>#DIV/0!</v>
      </c>
      <c r="K83" s="5" t="e">
        <f t="shared" si="37"/>
        <v>#DIV/0!</v>
      </c>
      <c r="L83" s="5" t="e">
        <f t="shared" si="38"/>
        <v>#DIV/0!</v>
      </c>
      <c r="M83" s="5" t="e">
        <f t="shared" si="39"/>
        <v>#DIV/0!</v>
      </c>
      <c r="N83" s="5" t="e">
        <f t="shared" si="40"/>
        <v>#DIV/0!</v>
      </c>
      <c r="O83" s="5" t="e">
        <f t="shared" si="41"/>
        <v>#DIV/0!</v>
      </c>
    </row>
    <row r="84" spans="1:15" ht="15.6" customHeight="1" x14ac:dyDescent="0.3">
      <c r="A84" s="3"/>
      <c r="B84" s="3"/>
      <c r="C84" s="3"/>
      <c r="D84" s="4"/>
      <c r="E84" s="3"/>
      <c r="F84" s="4"/>
      <c r="G84" s="4"/>
      <c r="H84" s="4"/>
      <c r="I84" s="4"/>
      <c r="J84" s="4" t="e">
        <f t="shared" si="36"/>
        <v>#DIV/0!</v>
      </c>
      <c r="K84" s="5" t="e">
        <f t="shared" si="37"/>
        <v>#DIV/0!</v>
      </c>
      <c r="L84" s="5" t="e">
        <f t="shared" si="38"/>
        <v>#DIV/0!</v>
      </c>
      <c r="M84" s="5" t="e">
        <f t="shared" si="39"/>
        <v>#DIV/0!</v>
      </c>
      <c r="N84" s="5" t="e">
        <f t="shared" si="40"/>
        <v>#DIV/0!</v>
      </c>
      <c r="O84" s="5" t="e">
        <f t="shared" si="41"/>
        <v>#DIV/0!</v>
      </c>
    </row>
    <row r="85" spans="1:15" x14ac:dyDescent="0.3">
      <c r="J85" s="4" t="e">
        <f t="shared" ref="J85:J89" si="42">H85/SQRT(C85)</f>
        <v>#DIV/0!</v>
      </c>
      <c r="K85" s="5" t="e">
        <f t="shared" ref="K85:K89" si="43">-10*LOG10(G85/(B85*3))</f>
        <v>#DIV/0!</v>
      </c>
      <c r="L85" s="5" t="e">
        <f t="shared" ref="L85:L89" si="44">-10*LOG10((G85+1.96*J85)/(B85*3))</f>
        <v>#DIV/0!</v>
      </c>
      <c r="M85" s="5" t="e">
        <f t="shared" ref="M85:M89" si="45">-10*LOG10((G85-1.96*J85)/(B85*3))</f>
        <v>#DIV/0!</v>
      </c>
      <c r="N85" s="5" t="e">
        <f t="shared" ref="N85:N89" si="46">K85-L85</f>
        <v>#DIV/0!</v>
      </c>
      <c r="O85" s="5" t="e">
        <f t="shared" ref="O85:O89" si="47">M85-K85</f>
        <v>#DIV/0!</v>
      </c>
    </row>
    <row r="86" spans="1:15" x14ac:dyDescent="0.3">
      <c r="J86" s="4" t="e">
        <f t="shared" si="42"/>
        <v>#DIV/0!</v>
      </c>
      <c r="K86" s="5" t="e">
        <f t="shared" si="43"/>
        <v>#DIV/0!</v>
      </c>
      <c r="L86" s="5" t="e">
        <f t="shared" si="44"/>
        <v>#DIV/0!</v>
      </c>
      <c r="M86" s="5" t="e">
        <f t="shared" si="45"/>
        <v>#DIV/0!</v>
      </c>
      <c r="N86" s="5" t="e">
        <f t="shared" si="46"/>
        <v>#DIV/0!</v>
      </c>
      <c r="O86" s="5" t="e">
        <f t="shared" si="47"/>
        <v>#DIV/0!</v>
      </c>
    </row>
    <row r="87" spans="1:15" x14ac:dyDescent="0.3">
      <c r="J87" s="4" t="e">
        <f t="shared" si="42"/>
        <v>#DIV/0!</v>
      </c>
      <c r="K87" s="5" t="e">
        <f t="shared" si="43"/>
        <v>#DIV/0!</v>
      </c>
      <c r="L87" s="5" t="e">
        <f t="shared" si="44"/>
        <v>#DIV/0!</v>
      </c>
      <c r="M87" s="5" t="e">
        <f t="shared" si="45"/>
        <v>#DIV/0!</v>
      </c>
      <c r="N87" s="5" t="e">
        <f t="shared" si="46"/>
        <v>#DIV/0!</v>
      </c>
      <c r="O87" s="5" t="e">
        <f t="shared" si="47"/>
        <v>#DIV/0!</v>
      </c>
    </row>
    <row r="88" spans="1:15" x14ac:dyDescent="0.3">
      <c r="J88" s="4" t="e">
        <f t="shared" si="42"/>
        <v>#DIV/0!</v>
      </c>
      <c r="K88" s="5" t="e">
        <f t="shared" si="43"/>
        <v>#DIV/0!</v>
      </c>
      <c r="L88" s="5" t="e">
        <f t="shared" si="44"/>
        <v>#DIV/0!</v>
      </c>
      <c r="M88" s="5" t="e">
        <f t="shared" si="45"/>
        <v>#DIV/0!</v>
      </c>
      <c r="N88" s="5" t="e">
        <f t="shared" si="46"/>
        <v>#DIV/0!</v>
      </c>
      <c r="O88" s="5" t="e">
        <f t="shared" si="47"/>
        <v>#DIV/0!</v>
      </c>
    </row>
    <row r="89" spans="1:15" x14ac:dyDescent="0.3">
      <c r="J89" s="4" t="e">
        <f t="shared" si="42"/>
        <v>#DIV/0!</v>
      </c>
      <c r="K89" s="5" t="e">
        <f t="shared" si="43"/>
        <v>#DIV/0!</v>
      </c>
      <c r="L89" s="5" t="e">
        <f t="shared" si="44"/>
        <v>#DIV/0!</v>
      </c>
      <c r="M89" s="5" t="e">
        <f t="shared" si="45"/>
        <v>#DIV/0!</v>
      </c>
      <c r="N89" s="5" t="e">
        <f t="shared" si="46"/>
        <v>#DIV/0!</v>
      </c>
      <c r="O89" s="5" t="e">
        <f t="shared" si="47"/>
        <v>#DIV/0!</v>
      </c>
    </row>
    <row r="107" spans="2:15" ht="18.75" customHeight="1" x14ac:dyDescent="0.3">
      <c r="J107" s="4"/>
      <c r="K107" s="5"/>
      <c r="L107" s="5"/>
      <c r="M107" s="5"/>
      <c r="N107" s="5"/>
      <c r="O107" s="5"/>
    </row>
    <row r="110" spans="2:15" x14ac:dyDescent="0.3">
      <c r="C110" s="1" t="s">
        <v>25</v>
      </c>
      <c r="D110" s="2" t="s">
        <v>26</v>
      </c>
    </row>
    <row r="111" spans="2:15" x14ac:dyDescent="0.3">
      <c r="C111" s="2">
        <v>0.1</v>
      </c>
      <c r="D111" s="2">
        <v>10</v>
      </c>
    </row>
    <row r="112" spans="2:15" x14ac:dyDescent="0.3">
      <c r="B112" s="1" t="s">
        <v>24</v>
      </c>
      <c r="C112" s="1" t="s">
        <v>27</v>
      </c>
    </row>
    <row r="113" spans="1:17" x14ac:dyDescent="0.3">
      <c r="A113" s="1" t="s">
        <v>20</v>
      </c>
      <c r="B113" s="2">
        <v>1.1000000000000001</v>
      </c>
      <c r="C113" s="1">
        <v>10</v>
      </c>
      <c r="D113" s="15"/>
      <c r="E113" s="15"/>
      <c r="F113" s="15"/>
      <c r="G113" s="15"/>
      <c r="H113" s="15"/>
      <c r="I113" s="15"/>
      <c r="J113" s="15"/>
      <c r="K113" s="15"/>
      <c r="L113" s="15"/>
      <c r="M113" s="15"/>
      <c r="N113" s="15"/>
    </row>
    <row r="114" spans="1:17" x14ac:dyDescent="0.3">
      <c r="A114" s="1" t="s">
        <v>21</v>
      </c>
      <c r="B114" s="2">
        <v>0.9</v>
      </c>
      <c r="C114" s="1">
        <v>10</v>
      </c>
      <c r="D114" s="15"/>
      <c r="E114" s="15"/>
      <c r="F114" s="15"/>
      <c r="G114" s="15"/>
    </row>
    <row r="115" spans="1:17" x14ac:dyDescent="0.3">
      <c r="A115" s="1" t="s">
        <v>22</v>
      </c>
      <c r="B115" s="2">
        <v>-0.1</v>
      </c>
      <c r="C115" s="1">
        <v>10</v>
      </c>
      <c r="D115" s="15"/>
      <c r="E115" s="15"/>
      <c r="F115" s="15"/>
      <c r="G115" s="15"/>
      <c r="H115" s="15"/>
      <c r="I115" s="15"/>
      <c r="J115" s="15"/>
      <c r="K115" s="15"/>
      <c r="L115" s="15"/>
      <c r="M115" s="15"/>
      <c r="N115" s="15"/>
      <c r="O115" s="15"/>
      <c r="P115" s="16"/>
      <c r="Q115" s="16"/>
    </row>
    <row r="116" spans="1:17" x14ac:dyDescent="0.3">
      <c r="A116" s="1" t="s">
        <v>20</v>
      </c>
      <c r="B116" s="2">
        <v>0.5</v>
      </c>
      <c r="C116" s="1">
        <v>10</v>
      </c>
      <c r="D116" s="15"/>
      <c r="E116" s="15"/>
    </row>
    <row r="117" spans="1:17" x14ac:dyDescent="0.3">
      <c r="A117" s="1" t="s">
        <v>20</v>
      </c>
      <c r="B117" s="2">
        <v>0.2</v>
      </c>
      <c r="C117" s="1">
        <v>10</v>
      </c>
      <c r="E117" s="2"/>
    </row>
    <row r="118" spans="1:17" x14ac:dyDescent="0.3">
      <c r="A118" s="1" t="s">
        <v>23</v>
      </c>
      <c r="B118" s="2">
        <v>0</v>
      </c>
      <c r="C118" s="1">
        <v>10</v>
      </c>
      <c r="E118" s="2"/>
    </row>
    <row r="119" spans="1:17" x14ac:dyDescent="0.3">
      <c r="A119" s="1" t="s">
        <v>21</v>
      </c>
      <c r="B119" s="2">
        <v>0.2</v>
      </c>
      <c r="C119" s="1">
        <v>10</v>
      </c>
      <c r="E119" s="2"/>
    </row>
    <row r="120" spans="1:17" x14ac:dyDescent="0.3">
      <c r="B120" s="2"/>
      <c r="E120" s="2"/>
    </row>
    <row r="121" spans="1:17" x14ac:dyDescent="0.3">
      <c r="E121" s="2"/>
    </row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384783-D224-4F3A-8013-C651B1775343}">
  <sheetPr codeName="Sheet2">
    <outlinePr summaryBelow="0"/>
  </sheetPr>
  <dimension ref="A1:O87"/>
  <sheetViews>
    <sheetView zoomScale="115" zoomScaleNormal="115" workbookViewId="0">
      <pane ySplit="1" topLeftCell="A2" activePane="bottomLeft" state="frozen"/>
      <selection pane="bottomLeft" activeCell="A3" sqref="A3:H18"/>
    </sheetView>
  </sheetViews>
  <sheetFormatPr defaultRowHeight="14.4" x14ac:dyDescent="0.3"/>
  <cols>
    <col min="1" max="1" width="13.33203125" style="1" bestFit="1" customWidth="1"/>
    <col min="2" max="2" width="10.33203125" style="1" customWidth="1"/>
    <col min="3" max="3" width="10.77734375" style="1" customWidth="1"/>
    <col min="4" max="4" width="10.21875" style="2" customWidth="1"/>
    <col min="5" max="5" width="11.77734375" style="1" customWidth="1"/>
    <col min="6" max="6" width="9.44140625" style="2" customWidth="1"/>
    <col min="7" max="9" width="10" style="2" customWidth="1"/>
    <col min="10" max="10" width="9" style="2" customWidth="1"/>
    <col min="11" max="15" width="12.44140625" style="2" customWidth="1"/>
    <col min="16" max="16" width="12.44140625" customWidth="1"/>
  </cols>
  <sheetData>
    <row r="1" spans="1:15" s="6" customFormat="1" ht="15.6" customHeight="1" x14ac:dyDescent="0.3">
      <c r="A1" s="11" t="s">
        <v>14</v>
      </c>
      <c r="B1" s="11" t="s">
        <v>0</v>
      </c>
      <c r="C1" s="11" t="s">
        <v>1</v>
      </c>
      <c r="D1" s="12" t="s">
        <v>2</v>
      </c>
      <c r="E1" s="11" t="s">
        <v>3</v>
      </c>
      <c r="F1" s="12" t="s">
        <v>4</v>
      </c>
      <c r="G1" s="12" t="s">
        <v>5</v>
      </c>
      <c r="H1" s="12" t="s">
        <v>6</v>
      </c>
      <c r="I1" s="12"/>
      <c r="J1" s="12" t="s">
        <v>7</v>
      </c>
      <c r="K1" s="12" t="s">
        <v>8</v>
      </c>
      <c r="L1" s="12" t="s">
        <v>9</v>
      </c>
      <c r="M1" s="12" t="s">
        <v>10</v>
      </c>
      <c r="N1" s="12" t="s">
        <v>11</v>
      </c>
      <c r="O1" s="12" t="s">
        <v>12</v>
      </c>
    </row>
    <row r="2" spans="1:15" ht="15.6" customHeight="1" x14ac:dyDescent="0.3">
      <c r="A2" s="13" t="s">
        <v>13</v>
      </c>
      <c r="B2" s="7"/>
      <c r="C2" s="7"/>
      <c r="D2" s="8"/>
      <c r="E2" s="7"/>
      <c r="F2" s="8"/>
      <c r="G2" s="8"/>
      <c r="H2" s="8"/>
      <c r="I2" s="8"/>
      <c r="J2" s="9"/>
      <c r="K2" s="10"/>
      <c r="L2" s="10"/>
      <c r="M2" s="10"/>
      <c r="N2" s="10"/>
      <c r="O2" s="10"/>
    </row>
    <row r="3" spans="1:15" ht="15.6" customHeight="1" x14ac:dyDescent="0.3">
      <c r="A3" s="1">
        <v>1</v>
      </c>
      <c r="B3" s="1">
        <v>149</v>
      </c>
      <c r="C3" s="1">
        <v>400</v>
      </c>
      <c r="D3" s="2">
        <v>0.1</v>
      </c>
      <c r="E3" s="1">
        <v>5</v>
      </c>
      <c r="F3" s="2">
        <v>0</v>
      </c>
      <c r="G3" s="2">
        <v>158.72</v>
      </c>
      <c r="H3" s="2">
        <v>21.06</v>
      </c>
      <c r="J3" s="4">
        <f t="shared" ref="J3:J18" si="0">H3/SQRT(C3)</f>
        <v>1.0529999999999999</v>
      </c>
      <c r="K3" s="5">
        <f t="shared" ref="K3:K18" si="1">-10*LOG10(G3/(B3*3))</f>
        <v>4.4967586832183306</v>
      </c>
      <c r="L3" s="5">
        <f t="shared" ref="L3:L18" si="2">-10*LOG10((G3+1.96*J3)/(B3*3))</f>
        <v>4.4406501838358263</v>
      </c>
      <c r="M3" s="5">
        <f t="shared" ref="M3:M18" si="3">-10*LOG10((G3-1.96*J3)/(B3*3))</f>
        <v>4.5536015723491765</v>
      </c>
      <c r="N3" s="5">
        <f t="shared" ref="N3:N18" si="4">K3-L3</f>
        <v>5.6108499382504284E-2</v>
      </c>
      <c r="O3" s="5">
        <f t="shared" ref="O3:O18" si="5">M3-K3</f>
        <v>5.6842889130845897E-2</v>
      </c>
    </row>
    <row r="4" spans="1:15" ht="15.6" customHeight="1" x14ac:dyDescent="0.3">
      <c r="A4" s="3">
        <v>1</v>
      </c>
      <c r="B4" s="3">
        <v>149</v>
      </c>
      <c r="C4" s="3">
        <v>400</v>
      </c>
      <c r="D4" s="4">
        <v>0.1</v>
      </c>
      <c r="E4" s="3">
        <v>6</v>
      </c>
      <c r="F4" s="4">
        <v>0</v>
      </c>
      <c r="G4" s="4">
        <v>123.9</v>
      </c>
      <c r="H4" s="4">
        <v>18.149999999999999</v>
      </c>
      <c r="I4" s="4"/>
      <c r="J4" s="4">
        <f t="shared" si="0"/>
        <v>0.90749999999999997</v>
      </c>
      <c r="K4" s="5">
        <f t="shared" si="1"/>
        <v>5.5723621675587296</v>
      </c>
      <c r="L4" s="5">
        <f t="shared" si="2"/>
        <v>5.5104584334816122</v>
      </c>
      <c r="M4" s="5">
        <f t="shared" si="3"/>
        <v>5.6351610434922463</v>
      </c>
      <c r="N4" s="5">
        <f t="shared" si="4"/>
        <v>6.1903734077117356E-2</v>
      </c>
      <c r="O4" s="5">
        <f t="shared" si="5"/>
        <v>6.279887593351674E-2</v>
      </c>
    </row>
    <row r="5" spans="1:15" ht="15.6" customHeight="1" x14ac:dyDescent="0.3">
      <c r="A5" s="3">
        <v>1</v>
      </c>
      <c r="B5" s="3">
        <v>149</v>
      </c>
      <c r="C5" s="3">
        <v>400</v>
      </c>
      <c r="D5" s="4">
        <v>0.1</v>
      </c>
      <c r="E5" s="3">
        <v>7</v>
      </c>
      <c r="F5" s="4">
        <v>0</v>
      </c>
      <c r="G5" s="4">
        <v>105.73</v>
      </c>
      <c r="H5" s="4">
        <v>15.48</v>
      </c>
      <c r="I5" s="4"/>
      <c r="J5" s="4">
        <f t="shared" si="0"/>
        <v>0.77400000000000002</v>
      </c>
      <c r="K5" s="5">
        <f t="shared" si="1"/>
        <v>6.2610929092506797</v>
      </c>
      <c r="L5" s="5">
        <f t="shared" si="2"/>
        <v>6.1992220856334459</v>
      </c>
      <c r="M5" s="5">
        <f t="shared" si="3"/>
        <v>6.3238579163012485</v>
      </c>
      <c r="N5" s="5">
        <f t="shared" si="4"/>
        <v>6.1870823617233839E-2</v>
      </c>
      <c r="O5" s="5">
        <f t="shared" si="5"/>
        <v>6.2765007050568755E-2</v>
      </c>
    </row>
    <row r="6" spans="1:15" ht="15.6" customHeight="1" x14ac:dyDescent="0.3">
      <c r="A6" s="3">
        <v>1</v>
      </c>
      <c r="B6" s="3">
        <v>149</v>
      </c>
      <c r="C6" s="3">
        <v>400</v>
      </c>
      <c r="D6" s="4">
        <v>0.1</v>
      </c>
      <c r="E6" s="3">
        <v>8</v>
      </c>
      <c r="F6" s="4">
        <v>0</v>
      </c>
      <c r="G6" s="4">
        <v>94.42</v>
      </c>
      <c r="H6" s="4">
        <v>14.77</v>
      </c>
      <c r="I6" s="4"/>
      <c r="J6" s="4">
        <f t="shared" si="0"/>
        <v>0.73849999999999993</v>
      </c>
      <c r="K6" s="5">
        <f t="shared" si="1"/>
        <v>6.7524352703670036</v>
      </c>
      <c r="L6" s="5">
        <f t="shared" si="2"/>
        <v>6.6863630220267964</v>
      </c>
      <c r="M6" s="5">
        <f t="shared" si="3"/>
        <v>6.8195282713141312</v>
      </c>
      <c r="N6" s="5">
        <f t="shared" si="4"/>
        <v>6.6072248340207196E-2</v>
      </c>
      <c r="O6" s="5">
        <f t="shared" si="5"/>
        <v>6.7093000947127557E-2</v>
      </c>
    </row>
    <row r="7" spans="1:15" ht="15.6" customHeight="1" x14ac:dyDescent="0.3">
      <c r="A7" s="3">
        <v>1</v>
      </c>
      <c r="B7" s="3">
        <v>149</v>
      </c>
      <c r="C7" s="3">
        <v>400</v>
      </c>
      <c r="D7" s="4">
        <v>0.1</v>
      </c>
      <c r="E7" s="3">
        <v>9</v>
      </c>
      <c r="F7" s="4">
        <v>0</v>
      </c>
      <c r="G7" s="4">
        <v>87.7</v>
      </c>
      <c r="H7" s="4">
        <v>14.22</v>
      </c>
      <c r="I7" s="4"/>
      <c r="J7" s="4">
        <f t="shared" si="0"/>
        <v>0.71100000000000008</v>
      </c>
      <c r="K7" s="5">
        <f t="shared" si="1"/>
        <v>7.0730792976589596</v>
      </c>
      <c r="L7" s="5">
        <f t="shared" si="2"/>
        <v>7.0046121031329287</v>
      </c>
      <c r="M7" s="5">
        <f t="shared" si="3"/>
        <v>7.1426432009212455</v>
      </c>
      <c r="N7" s="5">
        <f t="shared" si="4"/>
        <v>6.8467194526030895E-2</v>
      </c>
      <c r="O7" s="5">
        <f t="shared" si="5"/>
        <v>6.9563903262285898E-2</v>
      </c>
    </row>
    <row r="8" spans="1:15" ht="15.6" customHeight="1" x14ac:dyDescent="0.3">
      <c r="A8" s="3">
        <v>1</v>
      </c>
      <c r="B8" s="3">
        <v>149</v>
      </c>
      <c r="C8" s="3">
        <v>400</v>
      </c>
      <c r="D8" s="4">
        <v>0.1</v>
      </c>
      <c r="E8" s="3">
        <v>10</v>
      </c>
      <c r="F8" s="4">
        <v>0</v>
      </c>
      <c r="G8" s="4">
        <v>85.72</v>
      </c>
      <c r="H8" s="4">
        <v>14.66</v>
      </c>
      <c r="I8" s="4"/>
      <c r="J8" s="4">
        <f t="shared" si="0"/>
        <v>0.73299999999999998</v>
      </c>
      <c r="K8" s="5">
        <f t="shared" si="1"/>
        <v>7.172253607621454</v>
      </c>
      <c r="L8" s="5">
        <f t="shared" si="2"/>
        <v>7.1000684452629841</v>
      </c>
      <c r="M8" s="5">
        <f t="shared" si="3"/>
        <v>7.2456588858693385</v>
      </c>
      <c r="N8" s="5">
        <f t="shared" si="4"/>
        <v>7.2185162358469945E-2</v>
      </c>
      <c r="O8" s="5">
        <f t="shared" si="5"/>
        <v>7.3405278247884453E-2</v>
      </c>
    </row>
    <row r="9" spans="1:15" ht="15.6" customHeight="1" x14ac:dyDescent="0.3">
      <c r="A9" s="3">
        <v>1</v>
      </c>
      <c r="B9" s="3">
        <v>149</v>
      </c>
      <c r="C9" s="3">
        <v>400</v>
      </c>
      <c r="D9" s="4">
        <v>0.1</v>
      </c>
      <c r="E9" s="3">
        <v>11</v>
      </c>
      <c r="F9" s="4">
        <v>0</v>
      </c>
      <c r="G9" s="4">
        <v>82.95</v>
      </c>
      <c r="H9" s="4">
        <v>14.61</v>
      </c>
      <c r="I9" s="4"/>
      <c r="J9" s="4">
        <f t="shared" si="0"/>
        <v>0.73049999999999993</v>
      </c>
      <c r="K9" s="5">
        <f t="shared" si="1"/>
        <v>7.3149113277155697</v>
      </c>
      <c r="L9" s="5">
        <f t="shared" si="2"/>
        <v>7.240588407205351</v>
      </c>
      <c r="M9" s="5">
        <f t="shared" si="3"/>
        <v>7.3905283511464681</v>
      </c>
      <c r="N9" s="5">
        <f t="shared" si="4"/>
        <v>7.4322920510218715E-2</v>
      </c>
      <c r="O9" s="5">
        <f t="shared" si="5"/>
        <v>7.5617023430898378E-2</v>
      </c>
    </row>
    <row r="10" spans="1:15" ht="15.6" customHeight="1" x14ac:dyDescent="0.3">
      <c r="A10" s="3">
        <v>1</v>
      </c>
      <c r="B10" s="3">
        <v>149</v>
      </c>
      <c r="C10" s="3">
        <v>400</v>
      </c>
      <c r="D10" s="4">
        <v>0.1</v>
      </c>
      <c r="E10" s="3">
        <v>12</v>
      </c>
      <c r="F10" s="4">
        <v>0</v>
      </c>
      <c r="G10" s="4">
        <v>81.61</v>
      </c>
      <c r="H10" s="4">
        <v>15.83</v>
      </c>
      <c r="I10" s="4"/>
      <c r="J10" s="4">
        <f t="shared" si="0"/>
        <v>0.79149999999999998</v>
      </c>
      <c r="K10" s="5">
        <f t="shared" si="1"/>
        <v>7.3856414527600478</v>
      </c>
      <c r="L10" s="5">
        <f t="shared" si="2"/>
        <v>7.3038604451775342</v>
      </c>
      <c r="M10" s="5">
        <f t="shared" si="3"/>
        <v>7.4689920640451923</v>
      </c>
      <c r="N10" s="5">
        <f t="shared" si="4"/>
        <v>8.178100758251361E-2</v>
      </c>
      <c r="O10" s="5">
        <f t="shared" si="5"/>
        <v>8.3350611285144538E-2</v>
      </c>
    </row>
    <row r="11" spans="1:15" ht="15.6" customHeight="1" x14ac:dyDescent="0.3">
      <c r="A11" s="3">
        <v>1</v>
      </c>
      <c r="B11" s="3">
        <v>149</v>
      </c>
      <c r="C11" s="3">
        <v>400</v>
      </c>
      <c r="D11" s="4">
        <v>0.1</v>
      </c>
      <c r="E11" s="3">
        <v>13</v>
      </c>
      <c r="F11" s="4">
        <v>0</v>
      </c>
      <c r="G11" s="4">
        <v>81.28</v>
      </c>
      <c r="H11" s="4">
        <v>15.42</v>
      </c>
      <c r="I11" s="4"/>
      <c r="J11" s="4">
        <f t="shared" si="0"/>
        <v>0.77100000000000002</v>
      </c>
      <c r="K11" s="5">
        <f t="shared" si="1"/>
        <v>7.4032382819209239</v>
      </c>
      <c r="L11" s="5">
        <f t="shared" si="2"/>
        <v>7.3232355552791928</v>
      </c>
      <c r="M11" s="5">
        <f t="shared" si="3"/>
        <v>7.4847424655346604</v>
      </c>
      <c r="N11" s="5">
        <f t="shared" si="4"/>
        <v>8.0002726641731137E-2</v>
      </c>
      <c r="O11" s="5">
        <f t="shared" si="5"/>
        <v>8.1504183613736458E-2</v>
      </c>
    </row>
    <row r="12" spans="1:15" ht="15.6" customHeight="1" x14ac:dyDescent="0.3">
      <c r="A12" s="3">
        <v>1</v>
      </c>
      <c r="B12" s="3">
        <v>149</v>
      </c>
      <c r="C12" s="3">
        <v>400</v>
      </c>
      <c r="D12" s="4">
        <v>0.1</v>
      </c>
      <c r="E12" s="3">
        <v>14</v>
      </c>
      <c r="F12" s="4">
        <v>0</v>
      </c>
      <c r="G12" s="4">
        <v>79.33</v>
      </c>
      <c r="H12" s="4">
        <v>18.23</v>
      </c>
      <c r="I12" s="4"/>
      <c r="J12" s="4">
        <f t="shared" si="0"/>
        <v>0.91149999999999998</v>
      </c>
      <c r="K12" s="5">
        <f t="shared" si="1"/>
        <v>7.5087006884575889</v>
      </c>
      <c r="L12" s="5">
        <f t="shared" si="2"/>
        <v>7.4119810543945395</v>
      </c>
      <c r="M12" s="5">
        <f t="shared" si="3"/>
        <v>7.6076234774804909</v>
      </c>
      <c r="N12" s="5">
        <f t="shared" si="4"/>
        <v>9.6719634063049398E-2</v>
      </c>
      <c r="O12" s="5">
        <f t="shared" si="5"/>
        <v>9.892278902290208E-2</v>
      </c>
    </row>
    <row r="13" spans="1:15" ht="15.6" customHeight="1" x14ac:dyDescent="0.3">
      <c r="A13" s="3">
        <v>1</v>
      </c>
      <c r="B13" s="3">
        <v>149</v>
      </c>
      <c r="C13" s="3">
        <v>400</v>
      </c>
      <c r="D13" s="4">
        <v>0.1</v>
      </c>
      <c r="E13" s="3">
        <v>15</v>
      </c>
      <c r="F13" s="4">
        <v>0</v>
      </c>
      <c r="G13" s="4">
        <v>78.180000000000007</v>
      </c>
      <c r="H13" s="4">
        <v>14.24</v>
      </c>
      <c r="I13" s="4"/>
      <c r="J13" s="4">
        <f t="shared" si="0"/>
        <v>0.71199999999999997</v>
      </c>
      <c r="K13" s="5">
        <f t="shared" si="1"/>
        <v>7.5721185703570812</v>
      </c>
      <c r="L13" s="5">
        <f t="shared" si="2"/>
        <v>7.4952803785720903</v>
      </c>
      <c r="M13" s="5">
        <f t="shared" si="3"/>
        <v>7.6503407564595882</v>
      </c>
      <c r="N13" s="5">
        <f t="shared" si="4"/>
        <v>7.6838191784990961E-2</v>
      </c>
      <c r="O13" s="5">
        <f t="shared" si="5"/>
        <v>7.8222186102506974E-2</v>
      </c>
    </row>
    <row r="14" spans="1:15" ht="15.6" customHeight="1" x14ac:dyDescent="0.3">
      <c r="A14" s="3">
        <v>1</v>
      </c>
      <c r="B14" s="3">
        <v>149</v>
      </c>
      <c r="C14" s="3">
        <v>400</v>
      </c>
      <c r="D14" s="4">
        <v>0.1</v>
      </c>
      <c r="E14" s="3">
        <v>16</v>
      </c>
      <c r="F14" s="4">
        <v>0</v>
      </c>
      <c r="G14" s="4">
        <v>78.290000000000006</v>
      </c>
      <c r="H14" s="4">
        <v>14.83</v>
      </c>
      <c r="I14" s="4"/>
      <c r="J14" s="4">
        <f t="shared" si="0"/>
        <v>0.74150000000000005</v>
      </c>
      <c r="K14" s="5">
        <f t="shared" si="1"/>
        <v>7.56601230067223</v>
      </c>
      <c r="L14" s="5">
        <f t="shared" si="2"/>
        <v>7.4861310127143019</v>
      </c>
      <c r="M14" s="5">
        <f t="shared" si="3"/>
        <v>7.6473904480661945</v>
      </c>
      <c r="N14" s="5">
        <f t="shared" si="4"/>
        <v>7.9881287957928038E-2</v>
      </c>
      <c r="O14" s="5">
        <f t="shared" si="5"/>
        <v>8.1378147393964539E-2</v>
      </c>
    </row>
    <row r="15" spans="1:15" ht="15.6" customHeight="1" x14ac:dyDescent="0.3">
      <c r="A15" s="3">
        <v>1</v>
      </c>
      <c r="B15" s="3">
        <v>149</v>
      </c>
      <c r="C15" s="3">
        <v>400</v>
      </c>
      <c r="D15" s="4">
        <v>0.1</v>
      </c>
      <c r="E15" s="3">
        <v>17</v>
      </c>
      <c r="F15" s="4">
        <v>0</v>
      </c>
      <c r="G15" s="4">
        <v>77.599999999999994</v>
      </c>
      <c r="H15" s="4">
        <v>15.35</v>
      </c>
      <c r="I15" s="4"/>
      <c r="J15" s="4">
        <f t="shared" si="0"/>
        <v>0.76749999999999996</v>
      </c>
      <c r="K15" s="5">
        <f t="shared" si="1"/>
        <v>7.6044580187374802</v>
      </c>
      <c r="L15" s="5">
        <f t="shared" si="2"/>
        <v>7.5210743134709404</v>
      </c>
      <c r="M15" s="5">
        <f t="shared" si="3"/>
        <v>7.6894740669033066</v>
      </c>
      <c r="N15" s="5">
        <f t="shared" si="4"/>
        <v>8.338370526653982E-2</v>
      </c>
      <c r="O15" s="5">
        <f t="shared" si="5"/>
        <v>8.5016048165826419E-2</v>
      </c>
    </row>
    <row r="16" spans="1:15" ht="15.6" customHeight="1" x14ac:dyDescent="0.3">
      <c r="A16" s="3">
        <v>1</v>
      </c>
      <c r="B16" s="3">
        <v>149</v>
      </c>
      <c r="C16" s="3">
        <v>400</v>
      </c>
      <c r="D16" s="4">
        <v>0.1</v>
      </c>
      <c r="E16" s="3">
        <v>18</v>
      </c>
      <c r="F16" s="4">
        <v>0</v>
      </c>
      <c r="G16" s="4">
        <v>77.27</v>
      </c>
      <c r="H16" s="4">
        <v>14.33</v>
      </c>
      <c r="I16" s="4"/>
      <c r="J16" s="4">
        <f t="shared" si="0"/>
        <v>0.71650000000000003</v>
      </c>
      <c r="K16" s="5">
        <f t="shared" si="1"/>
        <v>7.6229661088690772</v>
      </c>
      <c r="L16" s="5">
        <f t="shared" si="2"/>
        <v>7.5447441483311444</v>
      </c>
      <c r="M16" s="5">
        <f t="shared" si="3"/>
        <v>7.7026228277371898</v>
      </c>
      <c r="N16" s="5">
        <f t="shared" si="4"/>
        <v>7.8221960537932844E-2</v>
      </c>
      <c r="O16" s="5">
        <f t="shared" si="5"/>
        <v>7.9656718868112542E-2</v>
      </c>
    </row>
    <row r="17" spans="1:15" ht="15.6" customHeight="1" x14ac:dyDescent="0.3">
      <c r="A17" s="3">
        <v>1</v>
      </c>
      <c r="B17" s="3">
        <v>149</v>
      </c>
      <c r="C17" s="3">
        <v>400</v>
      </c>
      <c r="D17" s="4">
        <v>0.1</v>
      </c>
      <c r="E17" s="3">
        <v>19</v>
      </c>
      <c r="F17" s="4">
        <v>0</v>
      </c>
      <c r="G17" s="4">
        <v>77.099999999999994</v>
      </c>
      <c r="H17" s="4">
        <v>14.29</v>
      </c>
      <c r="I17" s="4"/>
      <c r="J17" s="4">
        <f t="shared" si="0"/>
        <v>0.71449999999999991</v>
      </c>
      <c r="K17" s="5">
        <f t="shared" si="1"/>
        <v>7.632531450809795</v>
      </c>
      <c r="L17" s="5">
        <f t="shared" si="2"/>
        <v>7.5543554277911156</v>
      </c>
      <c r="M17" s="5">
        <f t="shared" si="3"/>
        <v>7.7121405319842129</v>
      </c>
      <c r="N17" s="5">
        <f t="shared" si="4"/>
        <v>7.817602301867943E-2</v>
      </c>
      <c r="O17" s="5">
        <f t="shared" si="5"/>
        <v>7.9609081174417895E-2</v>
      </c>
    </row>
    <row r="18" spans="1:15" ht="15.6" customHeight="1" x14ac:dyDescent="0.3">
      <c r="A18" s="3">
        <v>1</v>
      </c>
      <c r="B18" s="3">
        <v>149</v>
      </c>
      <c r="C18" s="3">
        <v>400</v>
      </c>
      <c r="D18" s="4">
        <v>0.1</v>
      </c>
      <c r="E18" s="3">
        <v>20</v>
      </c>
      <c r="F18" s="4">
        <v>0</v>
      </c>
      <c r="G18" s="4">
        <v>75.58</v>
      </c>
      <c r="H18" s="4">
        <v>15.04</v>
      </c>
      <c r="I18" s="4"/>
      <c r="J18" s="4">
        <f t="shared" si="0"/>
        <v>0.752</v>
      </c>
      <c r="K18" s="5">
        <f t="shared" si="1"/>
        <v>7.7190063555094079</v>
      </c>
      <c r="L18" s="5">
        <f t="shared" si="2"/>
        <v>7.6351278544980259</v>
      </c>
      <c r="M18" s="5">
        <f t="shared" si="3"/>
        <v>7.8045368219542528</v>
      </c>
      <c r="N18" s="5">
        <f t="shared" si="4"/>
        <v>8.3878501011382056E-2</v>
      </c>
      <c r="O18" s="5">
        <f t="shared" si="5"/>
        <v>8.5530466444844855E-2</v>
      </c>
    </row>
    <row r="19" spans="1:15" ht="15.6" customHeight="1" x14ac:dyDescent="0.3">
      <c r="A19" s="13" t="s">
        <v>15</v>
      </c>
      <c r="B19" s="7"/>
      <c r="C19" s="7"/>
      <c r="D19" s="8"/>
      <c r="E19" s="7"/>
      <c r="F19" s="8"/>
      <c r="G19" s="8"/>
      <c r="H19" s="8"/>
      <c r="I19" s="8"/>
      <c r="J19" s="9"/>
      <c r="K19" s="10"/>
      <c r="L19" s="10"/>
      <c r="M19" s="10"/>
      <c r="N19" s="10"/>
      <c r="O19" s="10"/>
    </row>
    <row r="20" spans="1:15" ht="15.6" customHeight="1" x14ac:dyDescent="0.3">
      <c r="A20" s="3"/>
      <c r="B20" s="3"/>
      <c r="C20" s="3"/>
      <c r="D20" s="4"/>
      <c r="E20" s="3"/>
      <c r="F20" s="4"/>
      <c r="G20" s="4"/>
      <c r="H20" s="4"/>
      <c r="I20" s="4"/>
      <c r="J20" s="4" t="e">
        <f t="shared" ref="J20:J35" si="6">H20/SQRT(C20)</f>
        <v>#DIV/0!</v>
      </c>
      <c r="K20" s="5" t="e">
        <f t="shared" ref="K20:K35" si="7">-10*LOG10(G20/(B20*3))</f>
        <v>#DIV/0!</v>
      </c>
      <c r="L20" s="5" t="e">
        <f t="shared" ref="L20:L35" si="8">-10*LOG10((G20+1.96*J20)/(B20*3))</f>
        <v>#DIV/0!</v>
      </c>
      <c r="M20" s="5" t="e">
        <f t="shared" ref="M20:M35" si="9">-10*LOG10((G20-1.96*J20)/(B20*3))</f>
        <v>#DIV/0!</v>
      </c>
      <c r="N20" s="5" t="e">
        <f t="shared" ref="N20:N35" si="10">K20-L20</f>
        <v>#DIV/0!</v>
      </c>
      <c r="O20" s="5" t="e">
        <f t="shared" ref="O20:O35" si="11">M20-K20</f>
        <v>#DIV/0!</v>
      </c>
    </row>
    <row r="21" spans="1:15" ht="15.6" customHeight="1" x14ac:dyDescent="0.3">
      <c r="A21" s="3"/>
      <c r="B21" s="3"/>
      <c r="C21" s="3"/>
      <c r="D21" s="4"/>
      <c r="E21" s="3"/>
      <c r="F21" s="3"/>
      <c r="G21" s="4"/>
      <c r="H21" s="4"/>
      <c r="I21" s="4"/>
      <c r="J21" s="4" t="e">
        <f t="shared" si="6"/>
        <v>#DIV/0!</v>
      </c>
      <c r="K21" s="5" t="e">
        <f t="shared" si="7"/>
        <v>#DIV/0!</v>
      </c>
      <c r="L21" s="5" t="e">
        <f t="shared" si="8"/>
        <v>#DIV/0!</v>
      </c>
      <c r="M21" s="5" t="e">
        <f t="shared" si="9"/>
        <v>#DIV/0!</v>
      </c>
      <c r="N21" s="5" t="e">
        <f t="shared" si="10"/>
        <v>#DIV/0!</v>
      </c>
      <c r="O21" s="5" t="e">
        <f t="shared" si="11"/>
        <v>#DIV/0!</v>
      </c>
    </row>
    <row r="22" spans="1:15" ht="15.6" customHeight="1" x14ac:dyDescent="0.3">
      <c r="A22" s="3"/>
      <c r="B22" s="3"/>
      <c r="C22" s="3"/>
      <c r="D22" s="4"/>
      <c r="E22" s="3"/>
      <c r="F22" s="4"/>
      <c r="G22" s="4"/>
      <c r="H22" s="4"/>
      <c r="I22" s="4"/>
      <c r="J22" s="4" t="e">
        <f t="shared" si="6"/>
        <v>#DIV/0!</v>
      </c>
      <c r="K22" s="5" t="e">
        <f t="shared" si="7"/>
        <v>#DIV/0!</v>
      </c>
      <c r="L22" s="5" t="e">
        <f t="shared" si="8"/>
        <v>#DIV/0!</v>
      </c>
      <c r="M22" s="5" t="e">
        <f t="shared" si="9"/>
        <v>#DIV/0!</v>
      </c>
      <c r="N22" s="5" t="e">
        <f t="shared" si="10"/>
        <v>#DIV/0!</v>
      </c>
      <c r="O22" s="5" t="e">
        <f t="shared" si="11"/>
        <v>#DIV/0!</v>
      </c>
    </row>
    <row r="23" spans="1:15" ht="15.6" customHeight="1" x14ac:dyDescent="0.3">
      <c r="A23" s="3"/>
      <c r="B23" s="3"/>
      <c r="C23" s="3"/>
      <c r="D23" s="4"/>
      <c r="E23" s="3"/>
      <c r="F23" s="4"/>
      <c r="G23" s="4"/>
      <c r="H23" s="4"/>
      <c r="I23" s="4"/>
      <c r="J23" s="4" t="e">
        <f t="shared" si="6"/>
        <v>#DIV/0!</v>
      </c>
      <c r="K23" s="5" t="e">
        <f t="shared" si="7"/>
        <v>#DIV/0!</v>
      </c>
      <c r="L23" s="5" t="e">
        <f t="shared" si="8"/>
        <v>#DIV/0!</v>
      </c>
      <c r="M23" s="5" t="e">
        <f t="shared" si="9"/>
        <v>#DIV/0!</v>
      </c>
      <c r="N23" s="5" t="e">
        <f t="shared" si="10"/>
        <v>#DIV/0!</v>
      </c>
      <c r="O23" s="5" t="e">
        <f t="shared" si="11"/>
        <v>#DIV/0!</v>
      </c>
    </row>
    <row r="24" spans="1:15" ht="15.6" customHeight="1" x14ac:dyDescent="0.3">
      <c r="A24" s="3"/>
      <c r="B24" s="3"/>
      <c r="C24" s="3"/>
      <c r="D24" s="4"/>
      <c r="E24" s="3"/>
      <c r="F24" s="4"/>
      <c r="G24" s="4"/>
      <c r="H24" s="4"/>
      <c r="I24" s="4"/>
      <c r="J24" s="4" t="e">
        <f t="shared" si="6"/>
        <v>#DIV/0!</v>
      </c>
      <c r="K24" s="5" t="e">
        <f t="shared" si="7"/>
        <v>#DIV/0!</v>
      </c>
      <c r="L24" s="5" t="e">
        <f t="shared" si="8"/>
        <v>#DIV/0!</v>
      </c>
      <c r="M24" s="5" t="e">
        <f t="shared" si="9"/>
        <v>#DIV/0!</v>
      </c>
      <c r="N24" s="5" t="e">
        <f t="shared" si="10"/>
        <v>#DIV/0!</v>
      </c>
      <c r="O24" s="5" t="e">
        <f t="shared" si="11"/>
        <v>#DIV/0!</v>
      </c>
    </row>
    <row r="25" spans="1:15" ht="15.6" customHeight="1" x14ac:dyDescent="0.3">
      <c r="A25" s="3"/>
      <c r="B25" s="3"/>
      <c r="C25" s="3"/>
      <c r="D25" s="4"/>
      <c r="E25" s="3"/>
      <c r="F25" s="4"/>
      <c r="G25" s="4"/>
      <c r="H25" s="4"/>
      <c r="I25" s="4"/>
      <c r="J25" s="4" t="e">
        <f t="shared" si="6"/>
        <v>#DIV/0!</v>
      </c>
      <c r="K25" s="5" t="e">
        <f t="shared" si="7"/>
        <v>#DIV/0!</v>
      </c>
      <c r="L25" s="5" t="e">
        <f t="shared" si="8"/>
        <v>#DIV/0!</v>
      </c>
      <c r="M25" s="5" t="e">
        <f t="shared" si="9"/>
        <v>#DIV/0!</v>
      </c>
      <c r="N25" s="5" t="e">
        <f t="shared" si="10"/>
        <v>#DIV/0!</v>
      </c>
      <c r="O25" s="5" t="e">
        <f t="shared" si="11"/>
        <v>#DIV/0!</v>
      </c>
    </row>
    <row r="26" spans="1:15" ht="15.6" customHeight="1" x14ac:dyDescent="0.3">
      <c r="A26" s="3"/>
      <c r="B26" s="3"/>
      <c r="C26" s="3"/>
      <c r="D26" s="4"/>
      <c r="E26" s="3"/>
      <c r="F26" s="4"/>
      <c r="G26" s="4"/>
      <c r="H26" s="4"/>
      <c r="I26" s="4"/>
      <c r="J26" s="4" t="e">
        <f t="shared" si="6"/>
        <v>#DIV/0!</v>
      </c>
      <c r="K26" s="5" t="e">
        <f t="shared" si="7"/>
        <v>#DIV/0!</v>
      </c>
      <c r="L26" s="5" t="e">
        <f t="shared" si="8"/>
        <v>#DIV/0!</v>
      </c>
      <c r="M26" s="5" t="e">
        <f t="shared" si="9"/>
        <v>#DIV/0!</v>
      </c>
      <c r="N26" s="5" t="e">
        <f t="shared" si="10"/>
        <v>#DIV/0!</v>
      </c>
      <c r="O26" s="5" t="e">
        <f t="shared" si="11"/>
        <v>#DIV/0!</v>
      </c>
    </row>
    <row r="27" spans="1:15" ht="15.6" customHeight="1" x14ac:dyDescent="0.3">
      <c r="A27" s="3"/>
      <c r="B27" s="3"/>
      <c r="C27" s="3"/>
      <c r="D27" s="4"/>
      <c r="E27" s="3"/>
      <c r="F27" s="4"/>
      <c r="G27" s="4"/>
      <c r="H27" s="4"/>
      <c r="I27" s="4"/>
      <c r="J27" s="4" t="e">
        <f t="shared" si="6"/>
        <v>#DIV/0!</v>
      </c>
      <c r="K27" s="5" t="e">
        <f t="shared" si="7"/>
        <v>#DIV/0!</v>
      </c>
      <c r="L27" s="5" t="e">
        <f t="shared" si="8"/>
        <v>#DIV/0!</v>
      </c>
      <c r="M27" s="5" t="e">
        <f t="shared" si="9"/>
        <v>#DIV/0!</v>
      </c>
      <c r="N27" s="5" t="e">
        <f t="shared" si="10"/>
        <v>#DIV/0!</v>
      </c>
      <c r="O27" s="5" t="e">
        <f t="shared" si="11"/>
        <v>#DIV/0!</v>
      </c>
    </row>
    <row r="28" spans="1:15" ht="15.6" customHeight="1" x14ac:dyDescent="0.3">
      <c r="A28" s="3"/>
      <c r="B28" s="3"/>
      <c r="C28" s="3"/>
      <c r="D28" s="4"/>
      <c r="E28" s="3"/>
      <c r="F28" s="3"/>
      <c r="G28" s="4"/>
      <c r="H28" s="4"/>
      <c r="I28" s="4"/>
      <c r="J28" s="4" t="e">
        <f t="shared" si="6"/>
        <v>#DIV/0!</v>
      </c>
      <c r="K28" s="5" t="e">
        <f t="shared" si="7"/>
        <v>#DIV/0!</v>
      </c>
      <c r="L28" s="5" t="e">
        <f t="shared" si="8"/>
        <v>#DIV/0!</v>
      </c>
      <c r="M28" s="5" t="e">
        <f t="shared" si="9"/>
        <v>#DIV/0!</v>
      </c>
      <c r="N28" s="5" t="e">
        <f t="shared" si="10"/>
        <v>#DIV/0!</v>
      </c>
      <c r="O28" s="5" t="e">
        <f t="shared" si="11"/>
        <v>#DIV/0!</v>
      </c>
    </row>
    <row r="29" spans="1:15" ht="15.6" customHeight="1" x14ac:dyDescent="0.3">
      <c r="A29" s="3"/>
      <c r="B29" s="3"/>
      <c r="C29" s="3"/>
      <c r="D29" s="4"/>
      <c r="E29" s="3"/>
      <c r="F29" s="4"/>
      <c r="G29" s="4"/>
      <c r="H29" s="4"/>
      <c r="I29" s="4"/>
      <c r="J29" s="4" t="e">
        <f t="shared" si="6"/>
        <v>#DIV/0!</v>
      </c>
      <c r="K29" s="5" t="e">
        <f t="shared" si="7"/>
        <v>#DIV/0!</v>
      </c>
      <c r="L29" s="5" t="e">
        <f t="shared" si="8"/>
        <v>#DIV/0!</v>
      </c>
      <c r="M29" s="5" t="e">
        <f t="shared" si="9"/>
        <v>#DIV/0!</v>
      </c>
      <c r="N29" s="5" t="e">
        <f t="shared" si="10"/>
        <v>#DIV/0!</v>
      </c>
      <c r="O29" s="5" t="e">
        <f t="shared" si="11"/>
        <v>#DIV/0!</v>
      </c>
    </row>
    <row r="30" spans="1:15" ht="15.6" customHeight="1" x14ac:dyDescent="0.3">
      <c r="A30" s="3"/>
      <c r="B30" s="3"/>
      <c r="C30" s="3"/>
      <c r="D30" s="4"/>
      <c r="E30" s="3"/>
      <c r="F30" s="3"/>
      <c r="G30" s="4"/>
      <c r="H30" s="4"/>
      <c r="I30" s="4"/>
      <c r="J30" s="4" t="e">
        <f t="shared" si="6"/>
        <v>#DIV/0!</v>
      </c>
      <c r="K30" s="5" t="e">
        <f t="shared" si="7"/>
        <v>#DIV/0!</v>
      </c>
      <c r="L30" s="5" t="e">
        <f t="shared" si="8"/>
        <v>#DIV/0!</v>
      </c>
      <c r="M30" s="5" t="e">
        <f t="shared" si="9"/>
        <v>#DIV/0!</v>
      </c>
      <c r="N30" s="5" t="e">
        <f t="shared" si="10"/>
        <v>#DIV/0!</v>
      </c>
      <c r="O30" s="5" t="e">
        <f t="shared" si="11"/>
        <v>#DIV/0!</v>
      </c>
    </row>
    <row r="31" spans="1:15" ht="15.6" customHeight="1" x14ac:dyDescent="0.3">
      <c r="A31" s="3"/>
      <c r="B31" s="3"/>
      <c r="C31" s="3"/>
      <c r="D31" s="4"/>
      <c r="E31" s="3"/>
      <c r="F31" s="3"/>
      <c r="G31" s="4"/>
      <c r="H31" s="4"/>
      <c r="I31" s="4"/>
      <c r="J31" s="4" t="e">
        <f t="shared" si="6"/>
        <v>#DIV/0!</v>
      </c>
      <c r="K31" s="5" t="e">
        <f t="shared" si="7"/>
        <v>#DIV/0!</v>
      </c>
      <c r="L31" s="5" t="e">
        <f t="shared" si="8"/>
        <v>#DIV/0!</v>
      </c>
      <c r="M31" s="5" t="e">
        <f t="shared" si="9"/>
        <v>#DIV/0!</v>
      </c>
      <c r="N31" s="5" t="e">
        <f t="shared" si="10"/>
        <v>#DIV/0!</v>
      </c>
      <c r="O31" s="5" t="e">
        <f t="shared" si="11"/>
        <v>#DIV/0!</v>
      </c>
    </row>
    <row r="32" spans="1:15" ht="15.6" customHeight="1" x14ac:dyDescent="0.3">
      <c r="A32" s="3"/>
      <c r="B32" s="3"/>
      <c r="C32" s="3"/>
      <c r="D32" s="4"/>
      <c r="E32" s="3"/>
      <c r="F32" s="4"/>
      <c r="G32" s="4"/>
      <c r="H32" s="4"/>
      <c r="I32" s="4"/>
      <c r="J32" s="4" t="e">
        <f t="shared" si="6"/>
        <v>#DIV/0!</v>
      </c>
      <c r="K32" s="5" t="e">
        <f t="shared" si="7"/>
        <v>#DIV/0!</v>
      </c>
      <c r="L32" s="5" t="e">
        <f t="shared" si="8"/>
        <v>#DIV/0!</v>
      </c>
      <c r="M32" s="5" t="e">
        <f t="shared" si="9"/>
        <v>#DIV/0!</v>
      </c>
      <c r="N32" s="5" t="e">
        <f t="shared" si="10"/>
        <v>#DIV/0!</v>
      </c>
      <c r="O32" s="5" t="e">
        <f t="shared" si="11"/>
        <v>#DIV/0!</v>
      </c>
    </row>
    <row r="33" spans="1:15" ht="15.6" customHeight="1" x14ac:dyDescent="0.3">
      <c r="A33" s="3"/>
      <c r="B33" s="3"/>
      <c r="C33" s="3"/>
      <c r="D33" s="4"/>
      <c r="E33" s="3"/>
      <c r="F33" s="4"/>
      <c r="G33" s="4"/>
      <c r="H33" s="4"/>
      <c r="I33" s="4"/>
      <c r="J33" s="4" t="e">
        <f t="shared" si="6"/>
        <v>#DIV/0!</v>
      </c>
      <c r="K33" s="5" t="e">
        <f t="shared" si="7"/>
        <v>#DIV/0!</v>
      </c>
      <c r="L33" s="5" t="e">
        <f t="shared" si="8"/>
        <v>#DIV/0!</v>
      </c>
      <c r="M33" s="5" t="e">
        <f t="shared" si="9"/>
        <v>#DIV/0!</v>
      </c>
      <c r="N33" s="5" t="e">
        <f t="shared" si="10"/>
        <v>#DIV/0!</v>
      </c>
      <c r="O33" s="5" t="e">
        <f t="shared" si="11"/>
        <v>#DIV/0!</v>
      </c>
    </row>
    <row r="34" spans="1:15" ht="15.6" customHeight="1" x14ac:dyDescent="0.3">
      <c r="A34" s="3"/>
      <c r="B34" s="3"/>
      <c r="C34" s="3"/>
      <c r="D34" s="4"/>
      <c r="E34" s="3"/>
      <c r="F34" s="4"/>
      <c r="G34" s="4"/>
      <c r="H34" s="4"/>
      <c r="I34" s="4"/>
      <c r="J34" s="4" t="e">
        <f t="shared" si="6"/>
        <v>#DIV/0!</v>
      </c>
      <c r="K34" s="5" t="e">
        <f t="shared" si="7"/>
        <v>#DIV/0!</v>
      </c>
      <c r="L34" s="5" t="e">
        <f t="shared" si="8"/>
        <v>#DIV/0!</v>
      </c>
      <c r="M34" s="5" t="e">
        <f t="shared" si="9"/>
        <v>#DIV/0!</v>
      </c>
      <c r="N34" s="5" t="e">
        <f t="shared" si="10"/>
        <v>#DIV/0!</v>
      </c>
      <c r="O34" s="5" t="e">
        <f t="shared" si="11"/>
        <v>#DIV/0!</v>
      </c>
    </row>
    <row r="35" spans="1:15" ht="15.6" customHeight="1" x14ac:dyDescent="0.3">
      <c r="A35" s="3"/>
      <c r="B35" s="3"/>
      <c r="C35" s="3"/>
      <c r="D35" s="4"/>
      <c r="E35" s="3"/>
      <c r="F35" s="4"/>
      <c r="G35" s="4"/>
      <c r="H35" s="4"/>
      <c r="I35" s="4"/>
      <c r="J35" s="4" t="e">
        <f t="shared" si="6"/>
        <v>#DIV/0!</v>
      </c>
      <c r="K35" s="5" t="e">
        <f t="shared" si="7"/>
        <v>#DIV/0!</v>
      </c>
      <c r="L35" s="5" t="e">
        <f t="shared" si="8"/>
        <v>#DIV/0!</v>
      </c>
      <c r="M35" s="5" t="e">
        <f t="shared" si="9"/>
        <v>#DIV/0!</v>
      </c>
      <c r="N35" s="5" t="e">
        <f t="shared" si="10"/>
        <v>#DIV/0!</v>
      </c>
      <c r="O35" s="5" t="e">
        <f t="shared" si="11"/>
        <v>#DIV/0!</v>
      </c>
    </row>
    <row r="36" spans="1:15" ht="15.6" customHeight="1" x14ac:dyDescent="0.3">
      <c r="A36" s="13" t="s">
        <v>16</v>
      </c>
      <c r="B36" s="7"/>
      <c r="C36" s="7"/>
      <c r="D36" s="8"/>
      <c r="E36" s="7"/>
      <c r="F36" s="8"/>
      <c r="G36" s="8"/>
      <c r="H36" s="8"/>
      <c r="I36" s="8"/>
      <c r="J36" s="9"/>
      <c r="K36" s="10"/>
      <c r="L36" s="10"/>
      <c r="M36" s="10"/>
      <c r="N36" s="10"/>
      <c r="O36" s="10"/>
    </row>
    <row r="37" spans="1:15" ht="15.6" customHeight="1" x14ac:dyDescent="0.3">
      <c r="J37" s="4" t="e">
        <f t="shared" ref="J37:J52" si="12">H37/SQRT(C37)</f>
        <v>#DIV/0!</v>
      </c>
      <c r="K37" s="5" t="e">
        <f t="shared" ref="K37:K52" si="13">-10*LOG10(G37/(B37*3))</f>
        <v>#DIV/0!</v>
      </c>
      <c r="L37" s="5" t="e">
        <f t="shared" ref="L37:L52" si="14">-10*LOG10((G37+1.96*J37)/(B37*3))</f>
        <v>#DIV/0!</v>
      </c>
      <c r="M37" s="5" t="e">
        <f t="shared" ref="M37:M52" si="15">-10*LOG10((G37-1.96*J37)/(B37*3))</f>
        <v>#DIV/0!</v>
      </c>
      <c r="N37" s="5" t="e">
        <f t="shared" ref="N37:N52" si="16">K37-L37</f>
        <v>#DIV/0!</v>
      </c>
      <c r="O37" s="5" t="e">
        <f t="shared" ref="O37:O52" si="17">M37-K37</f>
        <v>#DIV/0!</v>
      </c>
    </row>
    <row r="38" spans="1:15" ht="15.6" customHeight="1" x14ac:dyDescent="0.3">
      <c r="J38" s="4" t="e">
        <f t="shared" si="12"/>
        <v>#DIV/0!</v>
      </c>
      <c r="K38" s="5" t="e">
        <f t="shared" si="13"/>
        <v>#DIV/0!</v>
      </c>
      <c r="L38" s="5" t="e">
        <f t="shared" si="14"/>
        <v>#DIV/0!</v>
      </c>
      <c r="M38" s="5" t="e">
        <f t="shared" si="15"/>
        <v>#DIV/0!</v>
      </c>
      <c r="N38" s="5" t="e">
        <f t="shared" si="16"/>
        <v>#DIV/0!</v>
      </c>
      <c r="O38" s="5" t="e">
        <f t="shared" si="17"/>
        <v>#DIV/0!</v>
      </c>
    </row>
    <row r="39" spans="1:15" ht="15.6" customHeight="1" x14ac:dyDescent="0.3">
      <c r="J39" s="4" t="e">
        <f t="shared" si="12"/>
        <v>#DIV/0!</v>
      </c>
      <c r="K39" s="5" t="e">
        <f t="shared" si="13"/>
        <v>#DIV/0!</v>
      </c>
      <c r="L39" s="5" t="e">
        <f t="shared" si="14"/>
        <v>#DIV/0!</v>
      </c>
      <c r="M39" s="5" t="e">
        <f t="shared" si="15"/>
        <v>#DIV/0!</v>
      </c>
      <c r="N39" s="5" t="e">
        <f t="shared" si="16"/>
        <v>#DIV/0!</v>
      </c>
      <c r="O39" s="5" t="e">
        <f t="shared" si="17"/>
        <v>#DIV/0!</v>
      </c>
    </row>
    <row r="40" spans="1:15" ht="15.6" customHeight="1" x14ac:dyDescent="0.3">
      <c r="J40" s="4" t="e">
        <f t="shared" si="12"/>
        <v>#DIV/0!</v>
      </c>
      <c r="K40" s="5" t="e">
        <f t="shared" si="13"/>
        <v>#DIV/0!</v>
      </c>
      <c r="L40" s="5" t="e">
        <f t="shared" si="14"/>
        <v>#DIV/0!</v>
      </c>
      <c r="M40" s="5" t="e">
        <f t="shared" si="15"/>
        <v>#DIV/0!</v>
      </c>
      <c r="N40" s="5" t="e">
        <f t="shared" si="16"/>
        <v>#DIV/0!</v>
      </c>
      <c r="O40" s="5" t="e">
        <f t="shared" si="17"/>
        <v>#DIV/0!</v>
      </c>
    </row>
    <row r="41" spans="1:15" ht="15.6" customHeight="1" x14ac:dyDescent="0.3">
      <c r="J41" s="4" t="e">
        <f t="shared" si="12"/>
        <v>#DIV/0!</v>
      </c>
      <c r="K41" s="5" t="e">
        <f t="shared" si="13"/>
        <v>#DIV/0!</v>
      </c>
      <c r="L41" s="5" t="e">
        <f t="shared" si="14"/>
        <v>#DIV/0!</v>
      </c>
      <c r="M41" s="5" t="e">
        <f t="shared" si="15"/>
        <v>#DIV/0!</v>
      </c>
      <c r="N41" s="5" t="e">
        <f t="shared" si="16"/>
        <v>#DIV/0!</v>
      </c>
      <c r="O41" s="5" t="e">
        <f t="shared" si="17"/>
        <v>#DIV/0!</v>
      </c>
    </row>
    <row r="42" spans="1:15" ht="15.6" customHeight="1" x14ac:dyDescent="0.3">
      <c r="J42" s="4" t="e">
        <f t="shared" si="12"/>
        <v>#DIV/0!</v>
      </c>
      <c r="K42" s="5" t="e">
        <f t="shared" si="13"/>
        <v>#DIV/0!</v>
      </c>
      <c r="L42" s="5" t="e">
        <f t="shared" si="14"/>
        <v>#DIV/0!</v>
      </c>
      <c r="M42" s="5" t="e">
        <f t="shared" si="15"/>
        <v>#DIV/0!</v>
      </c>
      <c r="N42" s="5" t="e">
        <f t="shared" si="16"/>
        <v>#DIV/0!</v>
      </c>
      <c r="O42" s="5" t="e">
        <f t="shared" si="17"/>
        <v>#DIV/0!</v>
      </c>
    </row>
    <row r="43" spans="1:15" ht="15.6" customHeight="1" x14ac:dyDescent="0.3">
      <c r="J43" s="4" t="e">
        <f t="shared" si="12"/>
        <v>#DIV/0!</v>
      </c>
      <c r="K43" s="5" t="e">
        <f t="shared" si="13"/>
        <v>#DIV/0!</v>
      </c>
      <c r="L43" s="5" t="e">
        <f t="shared" si="14"/>
        <v>#DIV/0!</v>
      </c>
      <c r="M43" s="5" t="e">
        <f t="shared" si="15"/>
        <v>#DIV/0!</v>
      </c>
      <c r="N43" s="5" t="e">
        <f t="shared" si="16"/>
        <v>#DIV/0!</v>
      </c>
      <c r="O43" s="5" t="e">
        <f t="shared" si="17"/>
        <v>#DIV/0!</v>
      </c>
    </row>
    <row r="44" spans="1:15" ht="15.6" customHeight="1" x14ac:dyDescent="0.3">
      <c r="J44" s="4" t="e">
        <f t="shared" si="12"/>
        <v>#DIV/0!</v>
      </c>
      <c r="K44" s="5" t="e">
        <f t="shared" si="13"/>
        <v>#DIV/0!</v>
      </c>
      <c r="L44" s="5" t="e">
        <f t="shared" si="14"/>
        <v>#DIV/0!</v>
      </c>
      <c r="M44" s="5" t="e">
        <f t="shared" si="15"/>
        <v>#DIV/0!</v>
      </c>
      <c r="N44" s="5" t="e">
        <f t="shared" si="16"/>
        <v>#DIV/0!</v>
      </c>
      <c r="O44" s="5" t="e">
        <f t="shared" si="17"/>
        <v>#DIV/0!</v>
      </c>
    </row>
    <row r="45" spans="1:15" ht="15.6" customHeight="1" x14ac:dyDescent="0.3">
      <c r="J45" s="4" t="e">
        <f t="shared" si="12"/>
        <v>#DIV/0!</v>
      </c>
      <c r="K45" s="5" t="e">
        <f t="shared" si="13"/>
        <v>#DIV/0!</v>
      </c>
      <c r="L45" s="5" t="e">
        <f t="shared" si="14"/>
        <v>#DIV/0!</v>
      </c>
      <c r="M45" s="5" t="e">
        <f t="shared" si="15"/>
        <v>#DIV/0!</v>
      </c>
      <c r="N45" s="5" t="e">
        <f t="shared" si="16"/>
        <v>#DIV/0!</v>
      </c>
      <c r="O45" s="5" t="e">
        <f t="shared" si="17"/>
        <v>#DIV/0!</v>
      </c>
    </row>
    <row r="46" spans="1:15" ht="15.6" customHeight="1" x14ac:dyDescent="0.3">
      <c r="J46" s="4" t="e">
        <f t="shared" si="12"/>
        <v>#DIV/0!</v>
      </c>
      <c r="K46" s="5" t="e">
        <f t="shared" si="13"/>
        <v>#DIV/0!</v>
      </c>
      <c r="L46" s="5" t="e">
        <f t="shared" si="14"/>
        <v>#DIV/0!</v>
      </c>
      <c r="M46" s="5" t="e">
        <f t="shared" si="15"/>
        <v>#DIV/0!</v>
      </c>
      <c r="N46" s="5" t="e">
        <f t="shared" si="16"/>
        <v>#DIV/0!</v>
      </c>
      <c r="O46" s="5" t="e">
        <f t="shared" si="17"/>
        <v>#DIV/0!</v>
      </c>
    </row>
    <row r="47" spans="1:15" ht="15.6" customHeight="1" x14ac:dyDescent="0.3">
      <c r="J47" s="4" t="e">
        <f t="shared" si="12"/>
        <v>#DIV/0!</v>
      </c>
      <c r="K47" s="5" t="e">
        <f t="shared" si="13"/>
        <v>#DIV/0!</v>
      </c>
      <c r="L47" s="5" t="e">
        <f t="shared" si="14"/>
        <v>#DIV/0!</v>
      </c>
      <c r="M47" s="5" t="e">
        <f t="shared" si="15"/>
        <v>#DIV/0!</v>
      </c>
      <c r="N47" s="5" t="e">
        <f t="shared" si="16"/>
        <v>#DIV/0!</v>
      </c>
      <c r="O47" s="5" t="e">
        <f t="shared" si="17"/>
        <v>#DIV/0!</v>
      </c>
    </row>
    <row r="48" spans="1:15" ht="15.6" customHeight="1" x14ac:dyDescent="0.3">
      <c r="J48" s="4" t="e">
        <f t="shared" si="12"/>
        <v>#DIV/0!</v>
      </c>
      <c r="K48" s="5" t="e">
        <f t="shared" si="13"/>
        <v>#DIV/0!</v>
      </c>
      <c r="L48" s="5" t="e">
        <f t="shared" si="14"/>
        <v>#DIV/0!</v>
      </c>
      <c r="M48" s="5" t="e">
        <f t="shared" si="15"/>
        <v>#DIV/0!</v>
      </c>
      <c r="N48" s="5" t="e">
        <f t="shared" si="16"/>
        <v>#DIV/0!</v>
      </c>
      <c r="O48" s="5" t="e">
        <f t="shared" si="17"/>
        <v>#DIV/0!</v>
      </c>
    </row>
    <row r="49" spans="1:15" ht="15.6" customHeight="1" x14ac:dyDescent="0.3">
      <c r="J49" s="4" t="e">
        <f t="shared" si="12"/>
        <v>#DIV/0!</v>
      </c>
      <c r="K49" s="5" t="e">
        <f t="shared" si="13"/>
        <v>#DIV/0!</v>
      </c>
      <c r="L49" s="5" t="e">
        <f t="shared" si="14"/>
        <v>#DIV/0!</v>
      </c>
      <c r="M49" s="5" t="e">
        <f t="shared" si="15"/>
        <v>#DIV/0!</v>
      </c>
      <c r="N49" s="5" t="e">
        <f t="shared" si="16"/>
        <v>#DIV/0!</v>
      </c>
      <c r="O49" s="5" t="e">
        <f t="shared" si="17"/>
        <v>#DIV/0!</v>
      </c>
    </row>
    <row r="50" spans="1:15" ht="15.6" customHeight="1" x14ac:dyDescent="0.3">
      <c r="J50" s="4" t="e">
        <f t="shared" si="12"/>
        <v>#DIV/0!</v>
      </c>
      <c r="K50" s="5" t="e">
        <f t="shared" si="13"/>
        <v>#DIV/0!</v>
      </c>
      <c r="L50" s="5" t="e">
        <f t="shared" si="14"/>
        <v>#DIV/0!</v>
      </c>
      <c r="M50" s="5" t="e">
        <f t="shared" si="15"/>
        <v>#DIV/0!</v>
      </c>
      <c r="N50" s="5" t="e">
        <f t="shared" si="16"/>
        <v>#DIV/0!</v>
      </c>
      <c r="O50" s="5" t="e">
        <f t="shared" si="17"/>
        <v>#DIV/0!</v>
      </c>
    </row>
    <row r="51" spans="1:15" ht="15.6" customHeight="1" x14ac:dyDescent="0.3">
      <c r="J51" s="4" t="e">
        <f t="shared" si="12"/>
        <v>#DIV/0!</v>
      </c>
      <c r="K51" s="5" t="e">
        <f t="shared" si="13"/>
        <v>#DIV/0!</v>
      </c>
      <c r="L51" s="5" t="e">
        <f t="shared" si="14"/>
        <v>#DIV/0!</v>
      </c>
      <c r="M51" s="5" t="e">
        <f t="shared" si="15"/>
        <v>#DIV/0!</v>
      </c>
      <c r="N51" s="5" t="e">
        <f t="shared" si="16"/>
        <v>#DIV/0!</v>
      </c>
      <c r="O51" s="5" t="e">
        <f t="shared" si="17"/>
        <v>#DIV/0!</v>
      </c>
    </row>
    <row r="52" spans="1:15" ht="15.6" customHeight="1" x14ac:dyDescent="0.3">
      <c r="J52" s="4" t="e">
        <f t="shared" si="12"/>
        <v>#DIV/0!</v>
      </c>
      <c r="K52" s="5" t="e">
        <f t="shared" si="13"/>
        <v>#DIV/0!</v>
      </c>
      <c r="L52" s="5" t="e">
        <f t="shared" si="14"/>
        <v>#DIV/0!</v>
      </c>
      <c r="M52" s="5" t="e">
        <f t="shared" si="15"/>
        <v>#DIV/0!</v>
      </c>
      <c r="N52" s="5" t="e">
        <f t="shared" si="16"/>
        <v>#DIV/0!</v>
      </c>
      <c r="O52" s="5" t="e">
        <f t="shared" si="17"/>
        <v>#DIV/0!</v>
      </c>
    </row>
    <row r="53" spans="1:15" ht="15.6" customHeight="1" x14ac:dyDescent="0.3">
      <c r="A53" s="13" t="s">
        <v>17</v>
      </c>
      <c r="B53" s="7"/>
      <c r="C53" s="7"/>
      <c r="D53" s="8"/>
      <c r="E53" s="7"/>
      <c r="F53" s="8"/>
      <c r="G53" s="8"/>
      <c r="H53" s="8"/>
      <c r="I53" s="8"/>
      <c r="J53" s="9"/>
      <c r="K53" s="10"/>
      <c r="L53" s="10"/>
      <c r="M53" s="10"/>
      <c r="N53" s="10"/>
      <c r="O53" s="10"/>
    </row>
    <row r="54" spans="1:15" ht="15.6" customHeight="1" x14ac:dyDescent="0.3">
      <c r="J54" s="4" t="e">
        <f t="shared" ref="J54:J69" si="18">H54/SQRT(C54)</f>
        <v>#DIV/0!</v>
      </c>
      <c r="K54" s="5" t="e">
        <f t="shared" ref="K54:K69" si="19">-10*LOG10(G54/(B54*3))</f>
        <v>#DIV/0!</v>
      </c>
      <c r="L54" s="5" t="e">
        <f t="shared" ref="L54:L69" si="20">-10*LOG10((G54+1.96*J54)/(B54*3))</f>
        <v>#DIV/0!</v>
      </c>
      <c r="M54" s="5" t="e">
        <f t="shared" ref="M54:M69" si="21">-10*LOG10((G54-1.96*J54)/(B54*3))</f>
        <v>#DIV/0!</v>
      </c>
      <c r="N54" s="5" t="e">
        <f t="shared" ref="N54:N69" si="22">K54-L54</f>
        <v>#DIV/0!</v>
      </c>
      <c r="O54" s="5" t="e">
        <f t="shared" ref="O54:O69" si="23">M54-K54</f>
        <v>#DIV/0!</v>
      </c>
    </row>
    <row r="55" spans="1:15" ht="15.6" customHeight="1" x14ac:dyDescent="0.3">
      <c r="A55" s="3"/>
      <c r="B55" s="3"/>
      <c r="C55" s="3"/>
      <c r="D55" s="4"/>
      <c r="E55" s="3"/>
      <c r="F55" s="4"/>
      <c r="G55" s="4"/>
      <c r="H55" s="4"/>
      <c r="I55" s="4"/>
      <c r="J55" s="4" t="e">
        <f t="shared" si="18"/>
        <v>#DIV/0!</v>
      </c>
      <c r="K55" s="5" t="e">
        <f t="shared" si="19"/>
        <v>#DIV/0!</v>
      </c>
      <c r="L55" s="5" t="e">
        <f t="shared" si="20"/>
        <v>#DIV/0!</v>
      </c>
      <c r="M55" s="5" t="e">
        <f t="shared" si="21"/>
        <v>#DIV/0!</v>
      </c>
      <c r="N55" s="5" t="e">
        <f t="shared" si="22"/>
        <v>#DIV/0!</v>
      </c>
      <c r="O55" s="5" t="e">
        <f t="shared" si="23"/>
        <v>#DIV/0!</v>
      </c>
    </row>
    <row r="56" spans="1:15" ht="15.6" customHeight="1" x14ac:dyDescent="0.3">
      <c r="A56" s="3"/>
      <c r="B56" s="3"/>
      <c r="C56" s="3"/>
      <c r="D56" s="4"/>
      <c r="E56" s="3"/>
      <c r="F56" s="4"/>
      <c r="G56" s="4"/>
      <c r="H56" s="4"/>
      <c r="I56" s="4"/>
      <c r="J56" s="4" t="e">
        <f t="shared" si="18"/>
        <v>#DIV/0!</v>
      </c>
      <c r="K56" s="5" t="e">
        <f t="shared" si="19"/>
        <v>#DIV/0!</v>
      </c>
      <c r="L56" s="5" t="e">
        <f t="shared" si="20"/>
        <v>#DIV/0!</v>
      </c>
      <c r="M56" s="5" t="e">
        <f t="shared" si="21"/>
        <v>#DIV/0!</v>
      </c>
      <c r="N56" s="5" t="e">
        <f t="shared" si="22"/>
        <v>#DIV/0!</v>
      </c>
      <c r="O56" s="5" t="e">
        <f t="shared" si="23"/>
        <v>#DIV/0!</v>
      </c>
    </row>
    <row r="57" spans="1:15" ht="15.6" customHeight="1" x14ac:dyDescent="0.3">
      <c r="A57" s="3"/>
      <c r="B57" s="3"/>
      <c r="C57" s="3"/>
      <c r="D57" s="4"/>
      <c r="E57" s="3"/>
      <c r="F57" s="4"/>
      <c r="G57" s="4"/>
      <c r="H57" s="4"/>
      <c r="I57" s="4"/>
      <c r="J57" s="4" t="e">
        <f t="shared" si="18"/>
        <v>#DIV/0!</v>
      </c>
      <c r="K57" s="5" t="e">
        <f t="shared" si="19"/>
        <v>#DIV/0!</v>
      </c>
      <c r="L57" s="5" t="e">
        <f t="shared" si="20"/>
        <v>#DIV/0!</v>
      </c>
      <c r="M57" s="5" t="e">
        <f t="shared" si="21"/>
        <v>#DIV/0!</v>
      </c>
      <c r="N57" s="5" t="e">
        <f t="shared" si="22"/>
        <v>#DIV/0!</v>
      </c>
      <c r="O57" s="5" t="e">
        <f t="shared" si="23"/>
        <v>#DIV/0!</v>
      </c>
    </row>
    <row r="58" spans="1:15" ht="15.6" customHeight="1" x14ac:dyDescent="0.3">
      <c r="A58" s="3"/>
      <c r="B58" s="3"/>
      <c r="C58" s="3"/>
      <c r="D58" s="4"/>
      <c r="E58" s="3"/>
      <c r="F58" s="4"/>
      <c r="G58" s="4"/>
      <c r="H58" s="4"/>
      <c r="I58" s="4"/>
      <c r="J58" s="4" t="e">
        <f t="shared" si="18"/>
        <v>#DIV/0!</v>
      </c>
      <c r="K58" s="5" t="e">
        <f t="shared" si="19"/>
        <v>#DIV/0!</v>
      </c>
      <c r="L58" s="5" t="e">
        <f t="shared" si="20"/>
        <v>#DIV/0!</v>
      </c>
      <c r="M58" s="5" t="e">
        <f t="shared" si="21"/>
        <v>#DIV/0!</v>
      </c>
      <c r="N58" s="5" t="e">
        <f t="shared" si="22"/>
        <v>#DIV/0!</v>
      </c>
      <c r="O58" s="5" t="e">
        <f t="shared" si="23"/>
        <v>#DIV/0!</v>
      </c>
    </row>
    <row r="59" spans="1:15" ht="15.6" customHeight="1" x14ac:dyDescent="0.3">
      <c r="A59" s="3"/>
      <c r="B59" s="3"/>
      <c r="C59" s="3"/>
      <c r="D59" s="4"/>
      <c r="E59" s="3"/>
      <c r="F59" s="4"/>
      <c r="G59" s="4"/>
      <c r="H59" s="4"/>
      <c r="I59" s="4"/>
      <c r="J59" s="4" t="e">
        <f t="shared" si="18"/>
        <v>#DIV/0!</v>
      </c>
      <c r="K59" s="5" t="e">
        <f t="shared" si="19"/>
        <v>#DIV/0!</v>
      </c>
      <c r="L59" s="5" t="e">
        <f t="shared" si="20"/>
        <v>#DIV/0!</v>
      </c>
      <c r="M59" s="5" t="e">
        <f t="shared" si="21"/>
        <v>#DIV/0!</v>
      </c>
      <c r="N59" s="5" t="e">
        <f t="shared" si="22"/>
        <v>#DIV/0!</v>
      </c>
      <c r="O59" s="5" t="e">
        <f t="shared" si="23"/>
        <v>#DIV/0!</v>
      </c>
    </row>
    <row r="60" spans="1:15" ht="15.6" customHeight="1" x14ac:dyDescent="0.3">
      <c r="A60" s="3"/>
      <c r="B60" s="3"/>
      <c r="C60" s="3"/>
      <c r="D60" s="4"/>
      <c r="E60" s="3"/>
      <c r="F60" s="4"/>
      <c r="G60" s="4"/>
      <c r="H60" s="4"/>
      <c r="I60" s="4"/>
      <c r="J60" s="4" t="e">
        <f t="shared" si="18"/>
        <v>#DIV/0!</v>
      </c>
      <c r="K60" s="5" t="e">
        <f t="shared" si="19"/>
        <v>#DIV/0!</v>
      </c>
      <c r="L60" s="5" t="e">
        <f t="shared" si="20"/>
        <v>#DIV/0!</v>
      </c>
      <c r="M60" s="5" t="e">
        <f t="shared" si="21"/>
        <v>#DIV/0!</v>
      </c>
      <c r="N60" s="5" t="e">
        <f t="shared" si="22"/>
        <v>#DIV/0!</v>
      </c>
      <c r="O60" s="5" t="e">
        <f t="shared" si="23"/>
        <v>#DIV/0!</v>
      </c>
    </row>
    <row r="61" spans="1:15" ht="15.6" customHeight="1" x14ac:dyDescent="0.3">
      <c r="A61" s="3"/>
      <c r="B61" s="3"/>
      <c r="C61" s="3"/>
      <c r="D61" s="4"/>
      <c r="E61" s="3"/>
      <c r="F61" s="4"/>
      <c r="G61" s="4"/>
      <c r="H61" s="4"/>
      <c r="I61" s="4"/>
      <c r="J61" s="4" t="e">
        <f t="shared" si="18"/>
        <v>#DIV/0!</v>
      </c>
      <c r="K61" s="5" t="e">
        <f t="shared" si="19"/>
        <v>#DIV/0!</v>
      </c>
      <c r="L61" s="5" t="e">
        <f t="shared" si="20"/>
        <v>#DIV/0!</v>
      </c>
      <c r="M61" s="5" t="e">
        <f t="shared" si="21"/>
        <v>#DIV/0!</v>
      </c>
      <c r="N61" s="5" t="e">
        <f t="shared" si="22"/>
        <v>#DIV/0!</v>
      </c>
      <c r="O61" s="5" t="e">
        <f t="shared" si="23"/>
        <v>#DIV/0!</v>
      </c>
    </row>
    <row r="62" spans="1:15" ht="15.6" customHeight="1" x14ac:dyDescent="0.3">
      <c r="A62" s="3"/>
      <c r="B62" s="3"/>
      <c r="C62" s="3"/>
      <c r="D62" s="4"/>
      <c r="E62" s="3"/>
      <c r="F62" s="4"/>
      <c r="G62" s="4"/>
      <c r="H62" s="4"/>
      <c r="I62" s="4"/>
      <c r="J62" s="4" t="e">
        <f t="shared" si="18"/>
        <v>#DIV/0!</v>
      </c>
      <c r="K62" s="5" t="e">
        <f t="shared" si="19"/>
        <v>#DIV/0!</v>
      </c>
      <c r="L62" s="5" t="e">
        <f t="shared" si="20"/>
        <v>#DIV/0!</v>
      </c>
      <c r="M62" s="5" t="e">
        <f t="shared" si="21"/>
        <v>#DIV/0!</v>
      </c>
      <c r="N62" s="5" t="e">
        <f t="shared" si="22"/>
        <v>#DIV/0!</v>
      </c>
      <c r="O62" s="5" t="e">
        <f t="shared" si="23"/>
        <v>#DIV/0!</v>
      </c>
    </row>
    <row r="63" spans="1:15" ht="15.6" customHeight="1" x14ac:dyDescent="0.3">
      <c r="A63" s="3"/>
      <c r="B63" s="3"/>
      <c r="C63" s="3"/>
      <c r="D63" s="4"/>
      <c r="E63" s="3"/>
      <c r="F63" s="4"/>
      <c r="G63" s="4"/>
      <c r="H63" s="4"/>
      <c r="I63" s="4"/>
      <c r="J63" s="4" t="e">
        <f t="shared" si="18"/>
        <v>#DIV/0!</v>
      </c>
      <c r="K63" s="5" t="e">
        <f t="shared" si="19"/>
        <v>#DIV/0!</v>
      </c>
      <c r="L63" s="5" t="e">
        <f t="shared" si="20"/>
        <v>#DIV/0!</v>
      </c>
      <c r="M63" s="5" t="e">
        <f t="shared" si="21"/>
        <v>#DIV/0!</v>
      </c>
      <c r="N63" s="5" t="e">
        <f t="shared" si="22"/>
        <v>#DIV/0!</v>
      </c>
      <c r="O63" s="5" t="e">
        <f t="shared" si="23"/>
        <v>#DIV/0!</v>
      </c>
    </row>
    <row r="64" spans="1:15" ht="15.6" customHeight="1" x14ac:dyDescent="0.3">
      <c r="A64" s="3"/>
      <c r="B64" s="3"/>
      <c r="C64" s="3"/>
      <c r="D64" s="4"/>
      <c r="E64" s="3"/>
      <c r="F64" s="4"/>
      <c r="G64" s="4"/>
      <c r="H64" s="4"/>
      <c r="I64" s="4"/>
      <c r="J64" s="4" t="e">
        <f t="shared" si="18"/>
        <v>#DIV/0!</v>
      </c>
      <c r="K64" s="5" t="e">
        <f t="shared" si="19"/>
        <v>#DIV/0!</v>
      </c>
      <c r="L64" s="5" t="e">
        <f t="shared" si="20"/>
        <v>#DIV/0!</v>
      </c>
      <c r="M64" s="5" t="e">
        <f t="shared" si="21"/>
        <v>#DIV/0!</v>
      </c>
      <c r="N64" s="5" t="e">
        <f t="shared" si="22"/>
        <v>#DIV/0!</v>
      </c>
      <c r="O64" s="5" t="e">
        <f t="shared" si="23"/>
        <v>#DIV/0!</v>
      </c>
    </row>
    <row r="65" spans="1:15" ht="15.6" customHeight="1" x14ac:dyDescent="0.3">
      <c r="A65" s="3"/>
      <c r="B65" s="3"/>
      <c r="C65" s="3"/>
      <c r="D65" s="4"/>
      <c r="E65" s="3"/>
      <c r="F65" s="3"/>
      <c r="G65" s="4"/>
      <c r="H65" s="4"/>
      <c r="I65" s="4"/>
      <c r="J65" s="4" t="e">
        <f t="shared" si="18"/>
        <v>#DIV/0!</v>
      </c>
      <c r="K65" s="5" t="e">
        <f t="shared" si="19"/>
        <v>#DIV/0!</v>
      </c>
      <c r="L65" s="5" t="e">
        <f t="shared" si="20"/>
        <v>#DIV/0!</v>
      </c>
      <c r="M65" s="5" t="e">
        <f t="shared" si="21"/>
        <v>#DIV/0!</v>
      </c>
      <c r="N65" s="5" t="e">
        <f t="shared" si="22"/>
        <v>#DIV/0!</v>
      </c>
      <c r="O65" s="5" t="e">
        <f t="shared" si="23"/>
        <v>#DIV/0!</v>
      </c>
    </row>
    <row r="66" spans="1:15" ht="15.6" customHeight="1" x14ac:dyDescent="0.3">
      <c r="A66" s="3"/>
      <c r="B66" s="3"/>
      <c r="C66" s="3"/>
      <c r="D66" s="4"/>
      <c r="E66" s="3"/>
      <c r="F66" s="4"/>
      <c r="G66" s="4"/>
      <c r="H66" s="4"/>
      <c r="I66" s="4"/>
      <c r="J66" s="4" t="e">
        <f t="shared" si="18"/>
        <v>#DIV/0!</v>
      </c>
      <c r="K66" s="5" t="e">
        <f t="shared" si="19"/>
        <v>#DIV/0!</v>
      </c>
      <c r="L66" s="5" t="e">
        <f t="shared" si="20"/>
        <v>#DIV/0!</v>
      </c>
      <c r="M66" s="5" t="e">
        <f t="shared" si="21"/>
        <v>#DIV/0!</v>
      </c>
      <c r="N66" s="5" t="e">
        <f t="shared" si="22"/>
        <v>#DIV/0!</v>
      </c>
      <c r="O66" s="5" t="e">
        <f t="shared" si="23"/>
        <v>#DIV/0!</v>
      </c>
    </row>
    <row r="67" spans="1:15" ht="15.6" customHeight="1" x14ac:dyDescent="0.3">
      <c r="A67" s="3"/>
      <c r="B67" s="3"/>
      <c r="C67" s="3"/>
      <c r="D67" s="4"/>
      <c r="E67" s="3"/>
      <c r="F67" s="4"/>
      <c r="G67" s="4"/>
      <c r="H67" s="4"/>
      <c r="I67" s="4"/>
      <c r="J67" s="4" t="e">
        <f t="shared" si="18"/>
        <v>#DIV/0!</v>
      </c>
      <c r="K67" s="5" t="e">
        <f t="shared" si="19"/>
        <v>#DIV/0!</v>
      </c>
      <c r="L67" s="5" t="e">
        <f t="shared" si="20"/>
        <v>#DIV/0!</v>
      </c>
      <c r="M67" s="5" t="e">
        <f t="shared" si="21"/>
        <v>#DIV/0!</v>
      </c>
      <c r="N67" s="5" t="e">
        <f t="shared" si="22"/>
        <v>#DIV/0!</v>
      </c>
      <c r="O67" s="5" t="e">
        <f t="shared" si="23"/>
        <v>#DIV/0!</v>
      </c>
    </row>
    <row r="68" spans="1:15" ht="15.6" customHeight="1" x14ac:dyDescent="0.3">
      <c r="A68" s="3"/>
      <c r="B68" s="3"/>
      <c r="C68" s="3"/>
      <c r="D68" s="4"/>
      <c r="E68" s="3"/>
      <c r="F68" s="4"/>
      <c r="G68" s="4"/>
      <c r="H68" s="4"/>
      <c r="I68" s="4"/>
      <c r="J68" s="4" t="e">
        <f t="shared" si="18"/>
        <v>#DIV/0!</v>
      </c>
      <c r="K68" s="5" t="e">
        <f t="shared" si="19"/>
        <v>#DIV/0!</v>
      </c>
      <c r="L68" s="5" t="e">
        <f t="shared" si="20"/>
        <v>#DIV/0!</v>
      </c>
      <c r="M68" s="5" t="e">
        <f t="shared" si="21"/>
        <v>#DIV/0!</v>
      </c>
      <c r="N68" s="5" t="e">
        <f t="shared" si="22"/>
        <v>#DIV/0!</v>
      </c>
      <c r="O68" s="5" t="e">
        <f t="shared" si="23"/>
        <v>#DIV/0!</v>
      </c>
    </row>
    <row r="69" spans="1:15" ht="15.6" customHeight="1" x14ac:dyDescent="0.3">
      <c r="A69" s="3"/>
      <c r="B69" s="3"/>
      <c r="C69" s="3"/>
      <c r="D69" s="4"/>
      <c r="E69" s="3"/>
      <c r="F69" s="4"/>
      <c r="G69" s="4"/>
      <c r="H69" s="4"/>
      <c r="I69" s="4"/>
      <c r="J69" s="4" t="e">
        <f t="shared" si="18"/>
        <v>#DIV/0!</v>
      </c>
      <c r="K69" s="5" t="e">
        <f t="shared" si="19"/>
        <v>#DIV/0!</v>
      </c>
      <c r="L69" s="5" t="e">
        <f t="shared" si="20"/>
        <v>#DIV/0!</v>
      </c>
      <c r="M69" s="5" t="e">
        <f t="shared" si="21"/>
        <v>#DIV/0!</v>
      </c>
      <c r="N69" s="5" t="e">
        <f t="shared" si="22"/>
        <v>#DIV/0!</v>
      </c>
      <c r="O69" s="5" t="e">
        <f t="shared" si="23"/>
        <v>#DIV/0!</v>
      </c>
    </row>
    <row r="87" spans="10:15" ht="18.75" customHeight="1" x14ac:dyDescent="0.3">
      <c r="J87" s="4"/>
      <c r="K87" s="5"/>
      <c r="L87" s="5"/>
      <c r="M87" s="5"/>
      <c r="N87" s="5"/>
      <c r="O87" s="5"/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826301-C72E-450D-AEAA-777A21472000}">
  <sheetPr>
    <outlinePr summaryBelow="0"/>
  </sheetPr>
  <dimension ref="A1:O107"/>
  <sheetViews>
    <sheetView topLeftCell="D1" zoomScale="115" zoomScaleNormal="115" workbookViewId="0">
      <pane ySplit="1" topLeftCell="A2" activePane="bottomLeft" state="frozen"/>
      <selection pane="bottomLeft" activeCell="P6" sqref="P6"/>
    </sheetView>
  </sheetViews>
  <sheetFormatPr defaultRowHeight="14.4" x14ac:dyDescent="0.3"/>
  <cols>
    <col min="1" max="1" width="13.33203125" style="1" bestFit="1" customWidth="1"/>
    <col min="2" max="2" width="10.33203125" style="1" customWidth="1"/>
    <col min="3" max="3" width="10.77734375" style="1" customWidth="1"/>
    <col min="4" max="4" width="10.21875" style="2" customWidth="1"/>
    <col min="5" max="5" width="11.77734375" style="1" customWidth="1"/>
    <col min="6" max="6" width="9.44140625" style="2" customWidth="1"/>
    <col min="7" max="9" width="10" style="2" customWidth="1"/>
    <col min="10" max="10" width="9" style="2" customWidth="1"/>
    <col min="11" max="15" width="12.44140625" style="2" customWidth="1"/>
    <col min="16" max="16" width="12.44140625" customWidth="1"/>
  </cols>
  <sheetData>
    <row r="1" spans="1:15" s="6" customFormat="1" ht="15.6" customHeight="1" x14ac:dyDescent="0.3">
      <c r="A1" s="11" t="s">
        <v>14</v>
      </c>
      <c r="B1" s="11" t="s">
        <v>0</v>
      </c>
      <c r="C1" s="11" t="s">
        <v>1</v>
      </c>
      <c r="D1" s="12" t="s">
        <v>2</v>
      </c>
      <c r="E1" s="11" t="s">
        <v>3</v>
      </c>
      <c r="F1" s="12" t="s">
        <v>4</v>
      </c>
      <c r="G1" s="12" t="s">
        <v>5</v>
      </c>
      <c r="H1" s="12" t="s">
        <v>6</v>
      </c>
      <c r="I1" s="12"/>
      <c r="J1" s="12" t="s">
        <v>7</v>
      </c>
      <c r="K1" s="12" t="s">
        <v>8</v>
      </c>
      <c r="L1" s="12" t="s">
        <v>9</v>
      </c>
      <c r="M1" s="12" t="s">
        <v>10</v>
      </c>
      <c r="N1" s="12" t="s">
        <v>11</v>
      </c>
      <c r="O1" s="12" t="s">
        <v>12</v>
      </c>
    </row>
    <row r="2" spans="1:15" ht="15.6" customHeight="1" x14ac:dyDescent="0.3">
      <c r="A2" s="13" t="s">
        <v>13</v>
      </c>
      <c r="B2" s="7"/>
      <c r="C2" s="7"/>
      <c r="D2" s="8"/>
      <c r="E2" s="7"/>
      <c r="F2" s="8"/>
      <c r="G2" s="8"/>
      <c r="H2" s="8"/>
      <c r="I2" s="8"/>
      <c r="J2" s="9"/>
      <c r="K2" s="10"/>
      <c r="L2" s="10"/>
      <c r="M2" s="10"/>
      <c r="N2" s="10"/>
      <c r="O2" s="10"/>
    </row>
    <row r="3" spans="1:15" ht="15.6" customHeight="1" x14ac:dyDescent="0.3">
      <c r="A3" s="1">
        <v>3</v>
      </c>
      <c r="B3" s="1">
        <v>200</v>
      </c>
      <c r="C3" s="1">
        <v>200</v>
      </c>
      <c r="D3" s="2">
        <v>0</v>
      </c>
      <c r="E3" s="1">
        <v>10</v>
      </c>
      <c r="F3" s="2">
        <v>0</v>
      </c>
      <c r="G3" s="2">
        <v>108.95</v>
      </c>
      <c r="H3" s="2">
        <v>17.940000000000001</v>
      </c>
      <c r="J3" s="4">
        <f t="shared" ref="J3:J23" si="0">H3/SQRT(C3)</f>
        <v>1.2685495654486663</v>
      </c>
      <c r="K3" s="5">
        <f t="shared" ref="K3:K23" si="1">-10*LOG10(G3/(B3*3))</f>
        <v>7.4092401580136915</v>
      </c>
      <c r="L3" s="5">
        <f t="shared" ref="L3:L23" si="2">-10*LOG10((G3+1.96*J3)/(B3*3))</f>
        <v>7.3112434381141291</v>
      </c>
      <c r="M3" s="5">
        <f t="shared" ref="M3:M23" si="3">-10*LOG10((G3-1.96*J3)/(B3*3))</f>
        <v>7.5094992809853629</v>
      </c>
      <c r="N3" s="5">
        <f t="shared" ref="N3:N23" si="4">K3-L3</f>
        <v>9.7996719899562379E-2</v>
      </c>
      <c r="O3" s="5">
        <f t="shared" ref="O3:O23" si="5">M3-K3</f>
        <v>0.10025912297167139</v>
      </c>
    </row>
    <row r="4" spans="1:15" ht="15.6" customHeight="1" x14ac:dyDescent="0.3">
      <c r="A4" s="1">
        <v>3</v>
      </c>
      <c r="B4" s="1">
        <v>200</v>
      </c>
      <c r="C4" s="1">
        <v>200</v>
      </c>
      <c r="D4" s="2">
        <v>0.01</v>
      </c>
      <c r="E4" s="1">
        <v>10</v>
      </c>
      <c r="F4" s="2">
        <v>0</v>
      </c>
      <c r="G4" s="2">
        <v>107.35</v>
      </c>
      <c r="H4" s="2">
        <v>17.41</v>
      </c>
      <c r="I4" s="4"/>
      <c r="J4" s="4">
        <f t="shared" si="0"/>
        <v>1.2310729060457792</v>
      </c>
      <c r="K4" s="5">
        <f t="shared" si="1"/>
        <v>7.4734920161137621</v>
      </c>
      <c r="L4" s="5">
        <f t="shared" si="2"/>
        <v>7.3769566609733452</v>
      </c>
      <c r="M4" s="5">
        <f t="shared" si="3"/>
        <v>7.5722220433003873</v>
      </c>
      <c r="N4" s="5">
        <f t="shared" si="4"/>
        <v>9.653535514041689E-2</v>
      </c>
      <c r="O4" s="5">
        <f t="shared" si="5"/>
        <v>9.8730027186625158E-2</v>
      </c>
    </row>
    <row r="5" spans="1:15" ht="15.6" customHeight="1" x14ac:dyDescent="0.3">
      <c r="A5" s="1">
        <v>3</v>
      </c>
      <c r="B5" s="1">
        <v>200</v>
      </c>
      <c r="C5" s="1">
        <v>200</v>
      </c>
      <c r="D5" s="2">
        <v>0.02</v>
      </c>
      <c r="E5" s="1">
        <v>10</v>
      </c>
      <c r="F5" s="2">
        <v>0</v>
      </c>
      <c r="G5" s="2">
        <v>105.82</v>
      </c>
      <c r="H5" s="2">
        <v>15.6</v>
      </c>
      <c r="I5" s="4"/>
      <c r="J5" s="4">
        <f t="shared" si="0"/>
        <v>1.103086578651014</v>
      </c>
      <c r="K5" s="5">
        <f t="shared" si="1"/>
        <v>7.5358349318760567</v>
      </c>
      <c r="L5" s="5">
        <f t="shared" si="2"/>
        <v>7.4479968347723133</v>
      </c>
      <c r="M5" s="5">
        <f t="shared" si="3"/>
        <v>7.6254863337446306</v>
      </c>
      <c r="N5" s="5">
        <f t="shared" si="4"/>
        <v>8.7838097103743351E-2</v>
      </c>
      <c r="O5" s="5">
        <f t="shared" si="5"/>
        <v>8.9651401868573899E-2</v>
      </c>
    </row>
    <row r="6" spans="1:15" ht="15.6" customHeight="1" x14ac:dyDescent="0.3">
      <c r="A6" s="1">
        <v>3</v>
      </c>
      <c r="B6" s="1">
        <v>200</v>
      </c>
      <c r="C6" s="1">
        <v>200</v>
      </c>
      <c r="D6" s="2">
        <v>0.03</v>
      </c>
      <c r="E6" s="1">
        <v>10</v>
      </c>
      <c r="F6" s="2">
        <v>0</v>
      </c>
      <c r="G6" s="2">
        <v>109.28</v>
      </c>
      <c r="H6" s="2">
        <v>16.11</v>
      </c>
      <c r="I6" s="4"/>
      <c r="J6" s="4">
        <f t="shared" si="0"/>
        <v>1.1391490244915279</v>
      </c>
      <c r="K6" s="5">
        <f t="shared" si="1"/>
        <v>7.3961056404618635</v>
      </c>
      <c r="L6" s="5">
        <f t="shared" si="2"/>
        <v>7.3082679412158065</v>
      </c>
      <c r="M6" s="5">
        <f t="shared" si="3"/>
        <v>7.4857566278761229</v>
      </c>
      <c r="N6" s="5">
        <f t="shared" si="4"/>
        <v>8.7837699246056999E-2</v>
      </c>
      <c r="O6" s="5">
        <f t="shared" si="5"/>
        <v>8.9650987414259475E-2</v>
      </c>
    </row>
    <row r="7" spans="1:15" ht="15.6" customHeight="1" x14ac:dyDescent="0.3">
      <c r="A7" s="1">
        <v>3</v>
      </c>
      <c r="B7" s="1">
        <v>200</v>
      </c>
      <c r="C7" s="1">
        <v>200</v>
      </c>
      <c r="D7" s="2">
        <v>0.04</v>
      </c>
      <c r="E7" s="1">
        <v>10</v>
      </c>
      <c r="F7" s="2">
        <v>0</v>
      </c>
      <c r="G7" s="2">
        <v>108.4</v>
      </c>
      <c r="H7" s="2">
        <v>16.39</v>
      </c>
      <c r="I7" s="4"/>
      <c r="J7" s="4">
        <f t="shared" si="0"/>
        <v>1.1589480143647515</v>
      </c>
      <c r="K7" s="5">
        <f t="shared" si="1"/>
        <v>7.4312196818127552</v>
      </c>
      <c r="L7" s="5">
        <f t="shared" si="2"/>
        <v>7.3411530458968191</v>
      </c>
      <c r="M7" s="5">
        <f t="shared" si="3"/>
        <v>7.5231938029061336</v>
      </c>
      <c r="N7" s="5">
        <f t="shared" si="4"/>
        <v>9.0066635915936111E-2</v>
      </c>
      <c r="O7" s="5">
        <f t="shared" si="5"/>
        <v>9.1974121093378436E-2</v>
      </c>
    </row>
    <row r="8" spans="1:15" ht="15.6" customHeight="1" x14ac:dyDescent="0.3">
      <c r="A8" s="1">
        <v>3</v>
      </c>
      <c r="B8" s="1">
        <v>200</v>
      </c>
      <c r="C8" s="1">
        <v>200</v>
      </c>
      <c r="D8" s="2">
        <v>0.05</v>
      </c>
      <c r="E8" s="1">
        <v>10</v>
      </c>
      <c r="F8" s="2">
        <v>0</v>
      </c>
      <c r="G8" s="2">
        <v>108.62</v>
      </c>
      <c r="H8" s="2">
        <v>16.27</v>
      </c>
      <c r="I8" s="4"/>
      <c r="J8" s="4">
        <f t="shared" si="0"/>
        <v>1.1504627329905128</v>
      </c>
      <c r="K8" s="5">
        <f t="shared" si="1"/>
        <v>7.4224145192703483</v>
      </c>
      <c r="L8" s="5">
        <f t="shared" si="2"/>
        <v>7.3331798199234317</v>
      </c>
      <c r="M8" s="5">
        <f t="shared" si="3"/>
        <v>7.5135212605222765</v>
      </c>
      <c r="N8" s="5">
        <f t="shared" si="4"/>
        <v>8.9234699346916635E-2</v>
      </c>
      <c r="O8" s="5">
        <f t="shared" si="5"/>
        <v>9.1106741251928192E-2</v>
      </c>
    </row>
    <row r="9" spans="1:15" ht="15.6" customHeight="1" x14ac:dyDescent="0.3">
      <c r="A9" s="1">
        <v>3</v>
      </c>
      <c r="B9" s="1">
        <v>200</v>
      </c>
      <c r="C9" s="1">
        <v>200</v>
      </c>
      <c r="D9" s="2">
        <v>0.06</v>
      </c>
      <c r="E9" s="1">
        <v>10</v>
      </c>
      <c r="F9" s="2">
        <v>0</v>
      </c>
      <c r="G9" s="2">
        <v>107.97</v>
      </c>
      <c r="H9" s="2">
        <v>15.46</v>
      </c>
      <c r="I9" s="4"/>
      <c r="J9" s="4">
        <f t="shared" si="0"/>
        <v>1.0931870837144024</v>
      </c>
      <c r="K9" s="5">
        <f t="shared" si="1"/>
        <v>7.4484814901106997</v>
      </c>
      <c r="L9" s="5">
        <f t="shared" si="2"/>
        <v>7.3631404885338156</v>
      </c>
      <c r="M9" s="5">
        <f t="shared" si="3"/>
        <v>7.5355331558813274</v>
      </c>
      <c r="N9" s="5">
        <f t="shared" si="4"/>
        <v>8.5341001576884068E-2</v>
      </c>
      <c r="O9" s="5">
        <f t="shared" si="5"/>
        <v>8.7051665770627729E-2</v>
      </c>
    </row>
    <row r="10" spans="1:15" ht="15.6" customHeight="1" x14ac:dyDescent="0.3">
      <c r="A10" s="1">
        <v>3</v>
      </c>
      <c r="B10" s="1">
        <v>200</v>
      </c>
      <c r="C10" s="1">
        <v>200</v>
      </c>
      <c r="D10" s="2">
        <v>7.0000000000000007E-2</v>
      </c>
      <c r="E10" s="1">
        <v>10</v>
      </c>
      <c r="F10" s="2">
        <v>0</v>
      </c>
      <c r="G10" s="2">
        <v>111.31</v>
      </c>
      <c r="H10" s="2">
        <v>15.62</v>
      </c>
      <c r="I10" s="4"/>
      <c r="J10" s="4">
        <f t="shared" si="0"/>
        <v>1.1045007922133872</v>
      </c>
      <c r="K10" s="5">
        <f t="shared" si="1"/>
        <v>7.3161706763267409</v>
      </c>
      <c r="L10" s="5">
        <f t="shared" si="2"/>
        <v>7.232517419273119</v>
      </c>
      <c r="M10" s="5">
        <f t="shared" si="3"/>
        <v>7.4014669513004776</v>
      </c>
      <c r="N10" s="5">
        <f t="shared" si="4"/>
        <v>8.3653257053621921E-2</v>
      </c>
      <c r="O10" s="5">
        <f t="shared" si="5"/>
        <v>8.5296274973736708E-2</v>
      </c>
    </row>
    <row r="11" spans="1:15" ht="15.6" customHeight="1" x14ac:dyDescent="0.3">
      <c r="A11" s="1">
        <v>3</v>
      </c>
      <c r="B11" s="1">
        <v>200</v>
      </c>
      <c r="C11" s="1">
        <v>200</v>
      </c>
      <c r="D11" s="2">
        <v>0.08</v>
      </c>
      <c r="E11" s="1">
        <v>10</v>
      </c>
      <c r="F11" s="2">
        <v>0</v>
      </c>
      <c r="G11" s="2">
        <v>114.62</v>
      </c>
      <c r="H11" s="2">
        <v>17.12</v>
      </c>
      <c r="I11" s="4"/>
      <c r="J11" s="4">
        <f t="shared" si="0"/>
        <v>1.2105668093913693</v>
      </c>
      <c r="K11" s="5">
        <f t="shared" si="1"/>
        <v>7.1889084626191293</v>
      </c>
      <c r="L11" s="5">
        <f t="shared" si="2"/>
        <v>7.0999244585428087</v>
      </c>
      <c r="M11" s="5">
        <f t="shared" si="3"/>
        <v>7.2797538946803897</v>
      </c>
      <c r="N11" s="5">
        <f t="shared" si="4"/>
        <v>8.8984004076320566E-2</v>
      </c>
      <c r="O11" s="5">
        <f t="shared" si="5"/>
        <v>9.0845432061260389E-2</v>
      </c>
    </row>
    <row r="12" spans="1:15" ht="15.6" customHeight="1" x14ac:dyDescent="0.3">
      <c r="A12" s="1">
        <v>3</v>
      </c>
      <c r="B12" s="1">
        <v>200</v>
      </c>
      <c r="C12" s="1">
        <v>200</v>
      </c>
      <c r="D12" s="2">
        <v>0.09</v>
      </c>
      <c r="E12" s="1">
        <v>10</v>
      </c>
      <c r="F12" s="2">
        <v>0</v>
      </c>
      <c r="G12" s="2">
        <v>117.67</v>
      </c>
      <c r="H12" s="2">
        <v>15.72</v>
      </c>
      <c r="I12" s="4"/>
      <c r="J12" s="4">
        <f t="shared" si="0"/>
        <v>1.1115718600252527</v>
      </c>
      <c r="K12" s="5">
        <f t="shared" si="1"/>
        <v>7.0748549692991585</v>
      </c>
      <c r="L12" s="5">
        <f t="shared" si="2"/>
        <v>6.9951799219426389</v>
      </c>
      <c r="M12" s="5">
        <f t="shared" si="3"/>
        <v>7.1560190845025939</v>
      </c>
      <c r="N12" s="5">
        <f t="shared" si="4"/>
        <v>7.9675047356519535E-2</v>
      </c>
      <c r="O12" s="5">
        <f t="shared" si="5"/>
        <v>8.1164115203435472E-2</v>
      </c>
    </row>
    <row r="13" spans="1:15" ht="15.6" customHeight="1" x14ac:dyDescent="0.3">
      <c r="A13" s="1">
        <v>3</v>
      </c>
      <c r="B13" s="1">
        <v>200</v>
      </c>
      <c r="C13" s="1">
        <v>200</v>
      </c>
      <c r="D13" s="2">
        <v>0.1</v>
      </c>
      <c r="E13" s="1">
        <v>10</v>
      </c>
      <c r="F13" s="2">
        <v>0</v>
      </c>
      <c r="G13" s="2">
        <v>125.16</v>
      </c>
      <c r="H13" s="2">
        <v>16.48</v>
      </c>
      <c r="I13" s="4"/>
      <c r="J13" s="4">
        <f t="shared" si="0"/>
        <v>1.1653119753954304</v>
      </c>
      <c r="K13" s="5">
        <f t="shared" si="1"/>
        <v>6.8068569590948789</v>
      </c>
      <c r="L13" s="5">
        <f t="shared" si="2"/>
        <v>6.7283181737213233</v>
      </c>
      <c r="M13" s="5">
        <f t="shared" si="3"/>
        <v>6.8868422566246359</v>
      </c>
      <c r="N13" s="5">
        <f t="shared" si="4"/>
        <v>7.853878537355552E-2</v>
      </c>
      <c r="O13" s="5">
        <f t="shared" si="5"/>
        <v>7.9985297529757027E-2</v>
      </c>
    </row>
    <row r="14" spans="1:15" ht="15.6" customHeight="1" x14ac:dyDescent="0.3">
      <c r="A14" s="1">
        <v>3</v>
      </c>
      <c r="B14" s="1">
        <v>200</v>
      </c>
      <c r="C14" s="1">
        <v>200</v>
      </c>
      <c r="D14" s="2">
        <v>0.11</v>
      </c>
      <c r="E14" s="1">
        <v>10</v>
      </c>
      <c r="F14" s="2">
        <v>0</v>
      </c>
      <c r="G14" s="2">
        <v>129.4</v>
      </c>
      <c r="H14" s="2">
        <v>15.08</v>
      </c>
      <c r="I14" s="4"/>
      <c r="J14" s="4">
        <f t="shared" si="0"/>
        <v>1.0663170260293136</v>
      </c>
      <c r="K14" s="5">
        <f t="shared" si="1"/>
        <v>6.6621697405096203</v>
      </c>
      <c r="L14" s="5">
        <f t="shared" si="2"/>
        <v>6.5925858653914897</v>
      </c>
      <c r="M14" s="5">
        <f t="shared" si="3"/>
        <v>6.7328866869324777</v>
      </c>
      <c r="N14" s="5">
        <f t="shared" si="4"/>
        <v>6.9583875118130578E-2</v>
      </c>
      <c r="O14" s="5">
        <f t="shared" si="5"/>
        <v>7.0716946422857418E-2</v>
      </c>
    </row>
    <row r="15" spans="1:15" ht="15.6" customHeight="1" x14ac:dyDescent="0.3">
      <c r="A15" s="1">
        <v>3</v>
      </c>
      <c r="B15" s="1">
        <v>200</v>
      </c>
      <c r="C15" s="1">
        <v>200</v>
      </c>
      <c r="D15" s="2">
        <v>0.12</v>
      </c>
      <c r="E15" s="1">
        <v>10</v>
      </c>
      <c r="F15" s="2">
        <v>0</v>
      </c>
      <c r="G15" s="2">
        <v>139.9</v>
      </c>
      <c r="H15" s="2">
        <v>17.170000000000002</v>
      </c>
      <c r="I15" s="4"/>
      <c r="J15" s="4">
        <f t="shared" si="0"/>
        <v>1.2141023432973022</v>
      </c>
      <c r="K15" s="5">
        <f t="shared" si="1"/>
        <v>6.3233353589181593</v>
      </c>
      <c r="L15" s="5">
        <f t="shared" si="2"/>
        <v>6.2500849092313135</v>
      </c>
      <c r="M15" s="5">
        <f t="shared" si="3"/>
        <v>6.397842516818689</v>
      </c>
      <c r="N15" s="5">
        <f t="shared" si="4"/>
        <v>7.3250449686845798E-2</v>
      </c>
      <c r="O15" s="5">
        <f t="shared" si="5"/>
        <v>7.4507157900529641E-2</v>
      </c>
    </row>
    <row r="16" spans="1:15" ht="15.6" customHeight="1" x14ac:dyDescent="0.3">
      <c r="A16" s="1">
        <v>3</v>
      </c>
      <c r="B16" s="1">
        <v>200</v>
      </c>
      <c r="C16" s="1">
        <v>200</v>
      </c>
      <c r="D16" s="2">
        <v>0.13</v>
      </c>
      <c r="E16" s="1">
        <v>10</v>
      </c>
      <c r="F16" s="2">
        <v>0</v>
      </c>
      <c r="G16" s="2">
        <v>150.91999999999999</v>
      </c>
      <c r="H16" s="2">
        <v>16.91</v>
      </c>
      <c r="I16" s="4"/>
      <c r="J16" s="4">
        <f t="shared" si="0"/>
        <v>1.1957175669864519</v>
      </c>
      <c r="K16" s="5">
        <f t="shared" si="1"/>
        <v>5.9940445385468566</v>
      </c>
      <c r="L16" s="5">
        <f t="shared" si="2"/>
        <v>5.9271220970074037</v>
      </c>
      <c r="M16" s="5">
        <f t="shared" si="3"/>
        <v>6.0620143797965547</v>
      </c>
      <c r="N16" s="5">
        <f t="shared" si="4"/>
        <v>6.6922441539452926E-2</v>
      </c>
      <c r="O16" s="5">
        <f t="shared" si="5"/>
        <v>6.7969841249698071E-2</v>
      </c>
    </row>
    <row r="17" spans="1:15" ht="15.6" customHeight="1" x14ac:dyDescent="0.3">
      <c r="A17" s="1">
        <v>3</v>
      </c>
      <c r="B17" s="1">
        <v>200</v>
      </c>
      <c r="C17" s="1">
        <v>200</v>
      </c>
      <c r="D17" s="2">
        <v>0.14000000000000001</v>
      </c>
      <c r="E17" s="1">
        <v>10</v>
      </c>
      <c r="F17" s="2">
        <v>0</v>
      </c>
      <c r="G17" s="2">
        <v>161.02000000000001</v>
      </c>
      <c r="H17" s="2">
        <v>16.940000000000001</v>
      </c>
      <c r="I17" s="4"/>
      <c r="J17" s="4">
        <f t="shared" si="0"/>
        <v>1.1978388873300116</v>
      </c>
      <c r="K17" s="5">
        <f t="shared" si="1"/>
        <v>5.7127142807734366</v>
      </c>
      <c r="L17" s="5">
        <f t="shared" si="2"/>
        <v>5.6498488486331517</v>
      </c>
      <c r="M17" s="5">
        <f t="shared" si="3"/>
        <v>5.776503091489503</v>
      </c>
      <c r="N17" s="5">
        <f t="shared" si="4"/>
        <v>6.2865432140284838E-2</v>
      </c>
      <c r="O17" s="5">
        <f t="shared" si="5"/>
        <v>6.3788810716066457E-2</v>
      </c>
    </row>
    <row r="18" spans="1:15" ht="15.6" customHeight="1" x14ac:dyDescent="0.3">
      <c r="A18" s="1">
        <v>3</v>
      </c>
      <c r="B18" s="1">
        <v>200</v>
      </c>
      <c r="C18" s="1">
        <v>200</v>
      </c>
      <c r="D18" s="2">
        <v>0.15</v>
      </c>
      <c r="E18" s="1">
        <v>10</v>
      </c>
      <c r="F18" s="2">
        <v>0</v>
      </c>
      <c r="G18" s="2">
        <v>174.97</v>
      </c>
      <c r="H18" s="2">
        <v>17.2</v>
      </c>
      <c r="I18" s="4"/>
      <c r="J18" s="4">
        <f t="shared" si="0"/>
        <v>1.2162236636408617</v>
      </c>
      <c r="K18" s="5">
        <f t="shared" si="1"/>
        <v>5.3518765856216044</v>
      </c>
      <c r="L18" s="5">
        <f t="shared" si="2"/>
        <v>5.2931075620478367</v>
      </c>
      <c r="M18" s="5">
        <f t="shared" si="3"/>
        <v>5.4114517974698533</v>
      </c>
      <c r="N18" s="5">
        <f t="shared" si="4"/>
        <v>5.8769023573767676E-2</v>
      </c>
      <c r="O18" s="5">
        <f t="shared" si="5"/>
        <v>5.9575211848248877E-2</v>
      </c>
    </row>
    <row r="19" spans="1:15" ht="15.6" customHeight="1" x14ac:dyDescent="0.3">
      <c r="A19" s="1">
        <v>3</v>
      </c>
      <c r="B19" s="1">
        <v>200</v>
      </c>
      <c r="C19" s="1">
        <v>200</v>
      </c>
      <c r="D19" s="2">
        <v>0.16</v>
      </c>
      <c r="E19" s="1">
        <v>10</v>
      </c>
      <c r="F19" s="2">
        <v>0</v>
      </c>
      <c r="G19" s="2">
        <v>193.65</v>
      </c>
      <c r="H19" s="2">
        <v>19.03</v>
      </c>
      <c r="I19" s="4"/>
      <c r="J19" s="4">
        <f t="shared" si="0"/>
        <v>1.345624204598</v>
      </c>
      <c r="K19" s="5">
        <f t="shared" si="1"/>
        <v>4.9113374906154208</v>
      </c>
      <c r="L19" s="5">
        <f t="shared" si="2"/>
        <v>4.852587760772944</v>
      </c>
      <c r="M19" s="5">
        <f t="shared" si="3"/>
        <v>4.9708928758431963</v>
      </c>
      <c r="N19" s="5">
        <f t="shared" si="4"/>
        <v>5.8749729842476839E-2</v>
      </c>
      <c r="O19" s="5">
        <f t="shared" si="5"/>
        <v>5.9555385227775481E-2</v>
      </c>
    </row>
    <row r="20" spans="1:15" ht="15.6" customHeight="1" x14ac:dyDescent="0.3">
      <c r="A20" s="1">
        <v>3</v>
      </c>
      <c r="B20" s="1">
        <v>200</v>
      </c>
      <c r="C20" s="1">
        <v>200</v>
      </c>
      <c r="D20" s="2">
        <v>0.17</v>
      </c>
      <c r="E20" s="1">
        <v>10</v>
      </c>
      <c r="F20" s="2">
        <v>0</v>
      </c>
      <c r="G20" s="2">
        <v>209.66</v>
      </c>
      <c r="H20" s="2">
        <v>19.3</v>
      </c>
      <c r="I20" s="4"/>
      <c r="J20" s="4">
        <f t="shared" si="0"/>
        <v>1.3647160876900368</v>
      </c>
      <c r="K20" s="5">
        <f t="shared" si="1"/>
        <v>4.5663566892311103</v>
      </c>
      <c r="L20" s="5">
        <f t="shared" si="2"/>
        <v>4.5112998390503698</v>
      </c>
      <c r="M20" s="5">
        <f t="shared" si="3"/>
        <v>4.6221204838144265</v>
      </c>
      <c r="N20" s="5">
        <f t="shared" si="4"/>
        <v>5.5056850180740469E-2</v>
      </c>
      <c r="O20" s="5">
        <f t="shared" si="5"/>
        <v>5.5763794583316262E-2</v>
      </c>
    </row>
    <row r="21" spans="1:15" ht="15.6" customHeight="1" x14ac:dyDescent="0.3">
      <c r="A21" s="1">
        <v>3</v>
      </c>
      <c r="B21" s="1">
        <v>200</v>
      </c>
      <c r="C21" s="1">
        <v>200</v>
      </c>
      <c r="D21" s="2">
        <v>0.18</v>
      </c>
      <c r="E21" s="1">
        <v>10</v>
      </c>
      <c r="F21" s="2">
        <v>0</v>
      </c>
      <c r="G21" s="2">
        <v>227.03</v>
      </c>
      <c r="H21" s="2">
        <v>22.09</v>
      </c>
      <c r="I21" s="4"/>
      <c r="J21" s="4">
        <f t="shared" si="0"/>
        <v>1.5619988796410833</v>
      </c>
      <c r="K21" s="5">
        <f t="shared" si="1"/>
        <v>4.220680012363502</v>
      </c>
      <c r="L21" s="5">
        <f t="shared" si="2"/>
        <v>4.1625064144457244</v>
      </c>
      <c r="M21" s="5">
        <f t="shared" si="3"/>
        <v>4.2796434352927211</v>
      </c>
      <c r="N21" s="5">
        <f t="shared" si="4"/>
        <v>5.8173597917777542E-2</v>
      </c>
      <c r="O21" s="5">
        <f t="shared" si="5"/>
        <v>5.8963422929219078E-2</v>
      </c>
    </row>
    <row r="22" spans="1:15" ht="15.6" customHeight="1" x14ac:dyDescent="0.3">
      <c r="A22" s="1">
        <v>3</v>
      </c>
      <c r="B22" s="1">
        <v>200</v>
      </c>
      <c r="C22" s="1">
        <v>200</v>
      </c>
      <c r="D22" s="2">
        <v>0.19</v>
      </c>
      <c r="E22" s="1">
        <v>10</v>
      </c>
      <c r="F22" s="2">
        <v>0</v>
      </c>
      <c r="G22" s="2">
        <v>245.71</v>
      </c>
      <c r="H22" s="2">
        <v>22.37</v>
      </c>
      <c r="I22" s="4"/>
      <c r="J22" s="4">
        <f t="shared" si="0"/>
        <v>1.5817978695143069</v>
      </c>
      <c r="K22" s="5">
        <f t="shared" si="1"/>
        <v>3.8772841846016659</v>
      </c>
      <c r="L22" s="5">
        <f t="shared" si="2"/>
        <v>3.8228285391918826</v>
      </c>
      <c r="M22" s="5">
        <f t="shared" si="3"/>
        <v>3.9324313222929712</v>
      </c>
      <c r="N22" s="5">
        <f t="shared" si="4"/>
        <v>5.4455645409783315E-2</v>
      </c>
      <c r="O22" s="5">
        <f t="shared" si="5"/>
        <v>5.5147137691305304E-2</v>
      </c>
    </row>
    <row r="23" spans="1:15" ht="15.6" customHeight="1" x14ac:dyDescent="0.3">
      <c r="A23" s="1">
        <v>3</v>
      </c>
      <c r="B23" s="1">
        <v>200</v>
      </c>
      <c r="C23" s="1">
        <v>200</v>
      </c>
      <c r="D23" s="2">
        <v>0.2</v>
      </c>
      <c r="E23" s="1">
        <v>10</v>
      </c>
      <c r="F23" s="2">
        <v>0</v>
      </c>
      <c r="G23" s="2">
        <v>263.95999999999998</v>
      </c>
      <c r="H23" s="2">
        <v>21.13</v>
      </c>
      <c r="I23" s="4"/>
      <c r="J23" s="4">
        <f t="shared" si="0"/>
        <v>1.4941166286471748</v>
      </c>
      <c r="K23" s="5">
        <f t="shared" si="1"/>
        <v>3.5661313069355871</v>
      </c>
      <c r="L23" s="5">
        <f t="shared" si="2"/>
        <v>3.5182144068376227</v>
      </c>
      <c r="M23" s="5">
        <f t="shared" si="3"/>
        <v>3.6145827910159949</v>
      </c>
      <c r="N23" s="5">
        <f t="shared" si="4"/>
        <v>4.7916900097964454E-2</v>
      </c>
      <c r="O23" s="5">
        <f t="shared" si="5"/>
        <v>4.8451484080407781E-2</v>
      </c>
    </row>
    <row r="24" spans="1:15" ht="15.6" customHeight="1" x14ac:dyDescent="0.3">
      <c r="A24" s="13" t="s">
        <v>15</v>
      </c>
      <c r="B24" s="7"/>
      <c r="C24" s="7"/>
      <c r="D24" s="8"/>
      <c r="E24" s="7"/>
      <c r="F24" s="8"/>
      <c r="G24" s="8"/>
      <c r="H24" s="8"/>
      <c r="I24" s="8"/>
      <c r="J24" s="9"/>
      <c r="K24" s="10"/>
      <c r="L24" s="10"/>
      <c r="M24" s="10"/>
      <c r="N24" s="10"/>
      <c r="O24" s="10"/>
    </row>
    <row r="25" spans="1:15" ht="15.6" customHeight="1" x14ac:dyDescent="0.3">
      <c r="A25" s="1">
        <v>3</v>
      </c>
      <c r="B25" s="1">
        <v>200</v>
      </c>
      <c r="C25" s="1">
        <v>1000</v>
      </c>
      <c r="D25" s="2">
        <v>0</v>
      </c>
      <c r="E25" s="1">
        <v>10</v>
      </c>
      <c r="F25" s="2">
        <v>0</v>
      </c>
      <c r="G25" s="2">
        <v>130.66</v>
      </c>
      <c r="H25" s="2">
        <v>24.9</v>
      </c>
      <c r="I25" s="4"/>
      <c r="J25" s="4">
        <f t="shared" ref="J25:J45" si="6">H25/SQRT(C25)</f>
        <v>0.78740713738192647</v>
      </c>
      <c r="K25" s="5">
        <f t="shared" ref="K25:K45" si="7">-10*LOG10(G25/(B25*3))</f>
        <v>6.6200859652984985</v>
      </c>
      <c r="L25" s="5">
        <f t="shared" ref="L25:L45" si="8">-10*LOG10((G25+1.96*J25)/(B25*3))</f>
        <v>6.5690889533729324</v>
      </c>
      <c r="M25" s="5">
        <f t="shared" ref="M25:M45" si="9">-10*LOG10((G25-1.96*J25)/(B25*3))</f>
        <v>6.6716889318954813</v>
      </c>
      <c r="N25" s="5">
        <f t="shared" ref="N25:N45" si="10">K25-L25</f>
        <v>5.0997011925566049E-2</v>
      </c>
      <c r="O25" s="5">
        <f t="shared" ref="O25:O45" si="11">M25-K25</f>
        <v>5.1602966596982824E-2</v>
      </c>
    </row>
    <row r="26" spans="1:15" ht="15.6" customHeight="1" x14ac:dyDescent="0.3">
      <c r="A26" s="1">
        <v>3</v>
      </c>
      <c r="B26" s="1">
        <v>200</v>
      </c>
      <c r="C26" s="1">
        <v>1000</v>
      </c>
      <c r="D26" s="2">
        <v>0.01</v>
      </c>
      <c r="E26" s="1">
        <v>10</v>
      </c>
      <c r="F26" s="2">
        <v>0</v>
      </c>
      <c r="G26" s="2">
        <v>131</v>
      </c>
      <c r="H26" s="2">
        <v>24.65</v>
      </c>
      <c r="I26" s="4"/>
      <c r="J26" s="4">
        <f t="shared" si="6"/>
        <v>0.7795014432315055</v>
      </c>
      <c r="K26" s="5">
        <f t="shared" si="7"/>
        <v>6.6087995472787942</v>
      </c>
      <c r="L26" s="5">
        <f t="shared" si="8"/>
        <v>6.5584418695972282</v>
      </c>
      <c r="M26" s="5">
        <f t="shared" si="9"/>
        <v>6.6597479933481374</v>
      </c>
      <c r="N26" s="5">
        <f t="shared" si="10"/>
        <v>5.035767768156596E-2</v>
      </c>
      <c r="O26" s="5">
        <f t="shared" si="11"/>
        <v>5.0948446069343234E-2</v>
      </c>
    </row>
    <row r="27" spans="1:15" ht="15.6" customHeight="1" x14ac:dyDescent="0.3">
      <c r="A27" s="1">
        <v>3</v>
      </c>
      <c r="B27" s="1">
        <v>200</v>
      </c>
      <c r="C27" s="1">
        <v>1000</v>
      </c>
      <c r="D27" s="2">
        <v>0.02</v>
      </c>
      <c r="E27" s="1">
        <v>10</v>
      </c>
      <c r="F27" s="2">
        <v>0</v>
      </c>
      <c r="G27" s="2">
        <v>127.96</v>
      </c>
      <c r="H27" s="2">
        <v>24.28</v>
      </c>
      <c r="I27" s="4"/>
      <c r="J27" s="4">
        <f t="shared" si="6"/>
        <v>0.76780101588888261</v>
      </c>
      <c r="K27" s="5">
        <f t="shared" si="7"/>
        <v>6.7107701897157419</v>
      </c>
      <c r="L27" s="5">
        <f t="shared" si="8"/>
        <v>6.6599924374636155</v>
      </c>
      <c r="M27" s="5">
        <f t="shared" si="9"/>
        <v>6.762148666533248</v>
      </c>
      <c r="N27" s="5">
        <f t="shared" si="10"/>
        <v>5.077775225212644E-2</v>
      </c>
      <c r="O27" s="5">
        <f t="shared" si="11"/>
        <v>5.1378476817506069E-2</v>
      </c>
    </row>
    <row r="28" spans="1:15" ht="15.6" customHeight="1" x14ac:dyDescent="0.3">
      <c r="A28" s="1">
        <v>3</v>
      </c>
      <c r="B28" s="1">
        <v>200</v>
      </c>
      <c r="C28" s="1">
        <v>1000</v>
      </c>
      <c r="D28" s="2">
        <v>0.03</v>
      </c>
      <c r="E28" s="1">
        <v>10</v>
      </c>
      <c r="F28" s="2">
        <v>0</v>
      </c>
      <c r="G28" s="2">
        <v>125.96</v>
      </c>
      <c r="H28" s="2">
        <v>24.33</v>
      </c>
      <c r="I28" s="4"/>
      <c r="J28" s="4">
        <f t="shared" si="6"/>
        <v>0.76938215471896665</v>
      </c>
      <c r="K28" s="5">
        <f t="shared" si="7"/>
        <v>6.7791859841913737</v>
      </c>
      <c r="L28" s="5">
        <f t="shared" si="8"/>
        <v>6.7275011609243389</v>
      </c>
      <c r="M28" s="5">
        <f t="shared" si="9"/>
        <v>6.8314933176888335</v>
      </c>
      <c r="N28" s="5">
        <f t="shared" si="10"/>
        <v>5.168482326703483E-2</v>
      </c>
      <c r="O28" s="5">
        <f t="shared" si="11"/>
        <v>5.2307333497459751E-2</v>
      </c>
    </row>
    <row r="29" spans="1:15" ht="15.6" customHeight="1" x14ac:dyDescent="0.3">
      <c r="A29" s="1">
        <v>3</v>
      </c>
      <c r="B29" s="1">
        <v>200</v>
      </c>
      <c r="C29" s="1">
        <v>1000</v>
      </c>
      <c r="D29" s="2">
        <v>0.04</v>
      </c>
      <c r="E29" s="1">
        <v>10</v>
      </c>
      <c r="F29" s="2">
        <v>0</v>
      </c>
      <c r="G29" s="2">
        <v>121.3</v>
      </c>
      <c r="H29" s="2">
        <v>23.46</v>
      </c>
      <c r="I29" s="4"/>
      <c r="J29" s="4">
        <f t="shared" si="6"/>
        <v>0.74187033907550182</v>
      </c>
      <c r="K29" s="5">
        <f t="shared" si="7"/>
        <v>6.9429044951707066</v>
      </c>
      <c r="L29" s="5">
        <f t="shared" si="8"/>
        <v>6.8911536463294514</v>
      </c>
      <c r="M29" s="5">
        <f t="shared" si="9"/>
        <v>6.9952794553509872</v>
      </c>
      <c r="N29" s="5">
        <f t="shared" si="10"/>
        <v>5.1750848841255248E-2</v>
      </c>
      <c r="O29" s="5">
        <f t="shared" si="11"/>
        <v>5.2374960180280539E-2</v>
      </c>
    </row>
    <row r="30" spans="1:15" ht="15.6" customHeight="1" x14ac:dyDescent="0.3">
      <c r="A30" s="1">
        <v>3</v>
      </c>
      <c r="B30" s="1">
        <v>200</v>
      </c>
      <c r="C30" s="1">
        <v>1000</v>
      </c>
      <c r="D30" s="2">
        <v>0.05</v>
      </c>
      <c r="E30" s="1">
        <v>10</v>
      </c>
      <c r="F30" s="2">
        <v>0</v>
      </c>
      <c r="G30" s="2">
        <v>114.02</v>
      </c>
      <c r="H30" s="2">
        <v>22.54</v>
      </c>
      <c r="I30" s="4"/>
      <c r="J30" s="4">
        <f t="shared" si="6"/>
        <v>0.71277738460195272</v>
      </c>
      <c r="K30" s="5">
        <f t="shared" si="7"/>
        <v>7.2117021371553047</v>
      </c>
      <c r="L30" s="5">
        <f t="shared" si="8"/>
        <v>7.1588130441541766</v>
      </c>
      <c r="M30" s="5">
        <f t="shared" si="9"/>
        <v>7.2652432710076909</v>
      </c>
      <c r="N30" s="5">
        <f t="shared" si="10"/>
        <v>5.2889093001128096E-2</v>
      </c>
      <c r="O30" s="5">
        <f t="shared" si="11"/>
        <v>5.3541133852386125E-2</v>
      </c>
    </row>
    <row r="31" spans="1:15" ht="15.6" customHeight="1" x14ac:dyDescent="0.3">
      <c r="A31" s="1">
        <v>3</v>
      </c>
      <c r="B31" s="1">
        <v>200</v>
      </c>
      <c r="C31" s="1">
        <v>1000</v>
      </c>
      <c r="D31" s="2">
        <v>0.06</v>
      </c>
      <c r="E31" s="1">
        <v>10</v>
      </c>
      <c r="F31" s="2">
        <v>0</v>
      </c>
      <c r="G31" s="2">
        <v>110.17</v>
      </c>
      <c r="H31" s="2">
        <v>21.71</v>
      </c>
      <c r="I31" s="4"/>
      <c r="J31" s="4">
        <f t="shared" si="6"/>
        <v>0.68653048002255523</v>
      </c>
      <c r="K31" s="5">
        <f t="shared" si="7"/>
        <v>7.3608790095148748</v>
      </c>
      <c r="L31" s="5">
        <f t="shared" si="8"/>
        <v>7.3081562598168883</v>
      </c>
      <c r="M31" s="5">
        <f t="shared" si="9"/>
        <v>7.4142496798271154</v>
      </c>
      <c r="N31" s="5">
        <f t="shared" si="10"/>
        <v>5.2722749697986515E-2</v>
      </c>
      <c r="O31" s="5">
        <f t="shared" si="11"/>
        <v>5.337067031224052E-2</v>
      </c>
    </row>
    <row r="32" spans="1:15" ht="15.6" customHeight="1" x14ac:dyDescent="0.3">
      <c r="A32" s="1">
        <v>3</v>
      </c>
      <c r="B32" s="1">
        <v>200</v>
      </c>
      <c r="C32" s="1">
        <v>1000</v>
      </c>
      <c r="D32" s="2">
        <v>7.0000000000000007E-2</v>
      </c>
      <c r="E32" s="1">
        <v>10</v>
      </c>
      <c r="F32" s="2">
        <v>0</v>
      </c>
      <c r="G32" s="2">
        <v>104.58</v>
      </c>
      <c r="H32" s="2">
        <v>21.32</v>
      </c>
      <c r="I32" s="4"/>
      <c r="J32" s="4">
        <f t="shared" si="6"/>
        <v>0.67419759714789851</v>
      </c>
      <c r="K32" s="5">
        <f t="shared" si="7"/>
        <v>7.5870261289000682</v>
      </c>
      <c r="L32" s="5">
        <f t="shared" si="8"/>
        <v>7.5324943701674467</v>
      </c>
      <c r="M32" s="5">
        <f t="shared" si="9"/>
        <v>7.6422513266133283</v>
      </c>
      <c r="N32" s="5">
        <f t="shared" si="10"/>
        <v>5.4531758732621505E-2</v>
      </c>
      <c r="O32" s="5">
        <f t="shared" si="11"/>
        <v>5.5225197713260066E-2</v>
      </c>
    </row>
    <row r="33" spans="1:15" ht="15.6" customHeight="1" x14ac:dyDescent="0.3">
      <c r="A33" s="1">
        <v>3</v>
      </c>
      <c r="B33" s="1">
        <v>200</v>
      </c>
      <c r="C33" s="1">
        <v>1000</v>
      </c>
      <c r="D33" s="2">
        <v>0.08</v>
      </c>
      <c r="E33" s="1">
        <v>10</v>
      </c>
      <c r="F33" s="2">
        <v>0</v>
      </c>
      <c r="G33" s="2">
        <v>100.41</v>
      </c>
      <c r="H33" s="2">
        <v>18.41</v>
      </c>
      <c r="I33" s="4"/>
      <c r="J33" s="4">
        <f t="shared" si="6"/>
        <v>0.58217531723699867</v>
      </c>
      <c r="K33" s="5">
        <f t="shared" si="7"/>
        <v>7.7637428330620404</v>
      </c>
      <c r="L33" s="5">
        <f t="shared" si="8"/>
        <v>7.7146677392147112</v>
      </c>
      <c r="M33" s="5">
        <f t="shared" si="9"/>
        <v>7.8133788174827545</v>
      </c>
      <c r="N33" s="5">
        <f t="shared" si="10"/>
        <v>4.9075093847329221E-2</v>
      </c>
      <c r="O33" s="5">
        <f t="shared" si="11"/>
        <v>4.9635984420714152E-2</v>
      </c>
    </row>
    <row r="34" spans="1:15" ht="15.6" customHeight="1" x14ac:dyDescent="0.3">
      <c r="A34" s="1">
        <v>3</v>
      </c>
      <c r="B34" s="1">
        <v>200</v>
      </c>
      <c r="C34" s="1">
        <v>1000</v>
      </c>
      <c r="D34" s="2">
        <v>0.09</v>
      </c>
      <c r="E34" s="1">
        <v>10</v>
      </c>
      <c r="F34" s="2">
        <v>0</v>
      </c>
      <c r="G34" s="2">
        <v>99.1</v>
      </c>
      <c r="H34" s="2">
        <v>18.75</v>
      </c>
      <c r="I34" s="4"/>
      <c r="J34" s="4">
        <f t="shared" si="6"/>
        <v>0.59292706128157113</v>
      </c>
      <c r="K34" s="5">
        <f t="shared" si="7"/>
        <v>7.8207759589836829</v>
      </c>
      <c r="L34" s="5">
        <f t="shared" si="8"/>
        <v>7.7701429322612725</v>
      </c>
      <c r="M34" s="5">
        <f t="shared" si="9"/>
        <v>7.8720062706303215</v>
      </c>
      <c r="N34" s="5">
        <f t="shared" si="10"/>
        <v>5.0633026722410435E-2</v>
      </c>
      <c r="O34" s="5">
        <f t="shared" si="11"/>
        <v>5.1230311646638604E-2</v>
      </c>
    </row>
    <row r="35" spans="1:15" ht="15.6" customHeight="1" x14ac:dyDescent="0.3">
      <c r="A35" s="1">
        <v>3</v>
      </c>
      <c r="B35" s="1">
        <v>200</v>
      </c>
      <c r="C35" s="1">
        <v>1000</v>
      </c>
      <c r="D35" s="2">
        <v>0.1</v>
      </c>
      <c r="E35" s="1">
        <v>10</v>
      </c>
      <c r="F35" s="2">
        <v>0</v>
      </c>
      <c r="G35" s="2">
        <v>97.12</v>
      </c>
      <c r="H35" s="2">
        <v>16.89</v>
      </c>
      <c r="I35" s="4"/>
      <c r="J35" s="4">
        <f t="shared" si="6"/>
        <v>0.53410869680243933</v>
      </c>
      <c r="K35" s="5">
        <f t="shared" si="7"/>
        <v>7.9084257665246129</v>
      </c>
      <c r="L35" s="5">
        <f t="shared" si="8"/>
        <v>7.8618638143020476</v>
      </c>
      <c r="M35" s="5">
        <f t="shared" si="9"/>
        <v>7.9554923377910765</v>
      </c>
      <c r="N35" s="5">
        <f t="shared" si="10"/>
        <v>4.6561952222565317E-2</v>
      </c>
      <c r="O35" s="5">
        <f t="shared" si="11"/>
        <v>4.7066571266463519E-2</v>
      </c>
    </row>
    <row r="36" spans="1:15" ht="15.6" customHeight="1" x14ac:dyDescent="0.3">
      <c r="A36" s="1">
        <v>3</v>
      </c>
      <c r="B36" s="1">
        <v>200</v>
      </c>
      <c r="C36" s="1">
        <v>1000</v>
      </c>
      <c r="D36" s="2">
        <v>0.11</v>
      </c>
      <c r="E36" s="1">
        <v>10</v>
      </c>
      <c r="F36" s="2">
        <v>0</v>
      </c>
      <c r="G36" s="2">
        <v>100.42</v>
      </c>
      <c r="H36" s="2">
        <v>15.43</v>
      </c>
      <c r="I36" s="4"/>
      <c r="J36" s="4">
        <f t="shared" si="6"/>
        <v>0.48793944296398095</v>
      </c>
      <c r="K36" s="5">
        <f t="shared" si="7"/>
        <v>7.7633103334531555</v>
      </c>
      <c r="L36" s="5">
        <f t="shared" si="8"/>
        <v>7.7221455130574759</v>
      </c>
      <c r="M36" s="5">
        <f t="shared" si="9"/>
        <v>7.8048690734285531</v>
      </c>
      <c r="N36" s="5">
        <f t="shared" si="10"/>
        <v>4.1164820395679591E-2</v>
      </c>
      <c r="O36" s="5">
        <f t="shared" si="11"/>
        <v>4.1558739975397607E-2</v>
      </c>
    </row>
    <row r="37" spans="1:15" ht="15.6" customHeight="1" x14ac:dyDescent="0.3">
      <c r="A37" s="1">
        <v>3</v>
      </c>
      <c r="B37" s="1">
        <v>200</v>
      </c>
      <c r="C37" s="1">
        <v>1000</v>
      </c>
      <c r="D37" s="2">
        <v>0.12</v>
      </c>
      <c r="E37" s="1">
        <v>10</v>
      </c>
      <c r="F37" s="2">
        <v>0</v>
      </c>
      <c r="G37" s="2">
        <v>106.2</v>
      </c>
      <c r="H37" s="2">
        <v>15.67</v>
      </c>
      <c r="I37" s="4"/>
      <c r="J37" s="4">
        <f t="shared" si="6"/>
        <v>0.49552890934838506</v>
      </c>
      <c r="K37" s="5">
        <f t="shared" si="7"/>
        <v>7.5202673363819326</v>
      </c>
      <c r="L37" s="5">
        <f t="shared" si="8"/>
        <v>7.4807300826379084</v>
      </c>
      <c r="M37" s="5">
        <f t="shared" si="9"/>
        <v>7.560167838413637</v>
      </c>
      <c r="N37" s="5">
        <f t="shared" si="10"/>
        <v>3.953725374402417E-2</v>
      </c>
      <c r="O37" s="5">
        <f t="shared" si="11"/>
        <v>3.9900502031704477E-2</v>
      </c>
    </row>
    <row r="38" spans="1:15" ht="15.6" customHeight="1" x14ac:dyDescent="0.3">
      <c r="A38" s="1">
        <v>3</v>
      </c>
      <c r="B38" s="1">
        <v>200</v>
      </c>
      <c r="C38" s="1">
        <v>1000</v>
      </c>
      <c r="D38" s="2">
        <v>0.13</v>
      </c>
      <c r="E38" s="1">
        <v>10</v>
      </c>
      <c r="F38" s="2">
        <v>0</v>
      </c>
      <c r="G38" s="2">
        <v>117.96</v>
      </c>
      <c r="H38" s="2">
        <v>17.8</v>
      </c>
      <c r="I38" s="4"/>
      <c r="J38" s="4">
        <f t="shared" si="6"/>
        <v>0.56288542350997151</v>
      </c>
      <c r="K38" s="5">
        <f t="shared" si="7"/>
        <v>7.0641648650388325</v>
      </c>
      <c r="L38" s="5">
        <f t="shared" si="8"/>
        <v>7.0237349751654587</v>
      </c>
      <c r="M38" s="5">
        <f t="shared" si="9"/>
        <v>7.1049746694621527</v>
      </c>
      <c r="N38" s="5">
        <f t="shared" si="10"/>
        <v>4.0429889873373703E-2</v>
      </c>
      <c r="O38" s="5">
        <f t="shared" si="11"/>
        <v>4.0809804423320273E-2</v>
      </c>
    </row>
    <row r="39" spans="1:15" ht="15.6" customHeight="1" x14ac:dyDescent="0.3">
      <c r="A39" s="1">
        <v>3</v>
      </c>
      <c r="B39" s="1">
        <v>200</v>
      </c>
      <c r="C39" s="1">
        <v>1000</v>
      </c>
      <c r="D39" s="2">
        <v>0.14000000000000001</v>
      </c>
      <c r="E39" s="1">
        <v>10</v>
      </c>
      <c r="F39" s="2">
        <v>0</v>
      </c>
      <c r="G39" s="2">
        <v>141.78</v>
      </c>
      <c r="H39" s="2">
        <v>25.71</v>
      </c>
      <c r="I39" s="4"/>
      <c r="J39" s="4">
        <f t="shared" si="6"/>
        <v>0.81302158642929034</v>
      </c>
      <c r="K39" s="5">
        <f t="shared" si="7"/>
        <v>6.2653627836763093</v>
      </c>
      <c r="L39" s="5">
        <f t="shared" si="8"/>
        <v>6.2168229554183521</v>
      </c>
      <c r="M39" s="5">
        <f t="shared" si="9"/>
        <v>6.3144512653605283</v>
      </c>
      <c r="N39" s="5">
        <f t="shared" si="10"/>
        <v>4.8539828257957218E-2</v>
      </c>
      <c r="O39" s="5">
        <f t="shared" si="11"/>
        <v>4.9088481684218976E-2</v>
      </c>
    </row>
    <row r="40" spans="1:15" ht="15.6" customHeight="1" x14ac:dyDescent="0.3">
      <c r="A40" s="1">
        <v>3</v>
      </c>
      <c r="B40" s="1">
        <v>200</v>
      </c>
      <c r="C40" s="1">
        <v>1000</v>
      </c>
      <c r="D40" s="2">
        <v>0.15</v>
      </c>
      <c r="E40" s="1">
        <v>10</v>
      </c>
      <c r="F40" s="2">
        <v>0</v>
      </c>
      <c r="G40" s="2">
        <v>178.56</v>
      </c>
      <c r="H40" s="2">
        <v>38.979999999999997</v>
      </c>
      <c r="I40" s="4"/>
      <c r="J40" s="4">
        <f t="shared" si="6"/>
        <v>1.2326558319336343</v>
      </c>
      <c r="K40" s="5">
        <f t="shared" si="7"/>
        <v>5.2636707312615885</v>
      </c>
      <c r="L40" s="5">
        <f t="shared" si="8"/>
        <v>5.205302523093259</v>
      </c>
      <c r="M40" s="5">
        <f t="shared" si="9"/>
        <v>5.322834093939254</v>
      </c>
      <c r="N40" s="5">
        <f t="shared" si="10"/>
        <v>5.8368208168329438E-2</v>
      </c>
      <c r="O40" s="5">
        <f t="shared" si="11"/>
        <v>5.9163362677665532E-2</v>
      </c>
    </row>
    <row r="41" spans="1:15" ht="15.6" customHeight="1" x14ac:dyDescent="0.3">
      <c r="A41" s="1">
        <v>3</v>
      </c>
      <c r="B41" s="1">
        <v>200</v>
      </c>
      <c r="C41" s="1">
        <v>1000</v>
      </c>
      <c r="D41" s="2">
        <v>0.16</v>
      </c>
      <c r="E41" s="1">
        <v>10</v>
      </c>
      <c r="F41" s="2">
        <v>0</v>
      </c>
      <c r="G41" s="2">
        <v>228.43</v>
      </c>
      <c r="H41" s="2">
        <v>50.93</v>
      </c>
      <c r="I41" s="4"/>
      <c r="J41" s="4">
        <f t="shared" si="6"/>
        <v>1.6105480123237557</v>
      </c>
      <c r="K41" s="5">
        <f t="shared" si="7"/>
        <v>4.19398110622123</v>
      </c>
      <c r="L41" s="5">
        <f t="shared" si="8"/>
        <v>4.1343768466130344</v>
      </c>
      <c r="M41" s="5">
        <f t="shared" si="9"/>
        <v>4.2544147944125621</v>
      </c>
      <c r="N41" s="5">
        <f t="shared" si="10"/>
        <v>5.9604259608195598E-2</v>
      </c>
      <c r="O41" s="5">
        <f t="shared" si="11"/>
        <v>6.0433688191332102E-2</v>
      </c>
    </row>
    <row r="42" spans="1:15" ht="15.6" customHeight="1" x14ac:dyDescent="0.3">
      <c r="A42" s="1">
        <v>3</v>
      </c>
      <c r="B42" s="1">
        <v>200</v>
      </c>
      <c r="C42" s="1">
        <v>1000</v>
      </c>
      <c r="D42" s="2">
        <v>0.17</v>
      </c>
      <c r="E42" s="1">
        <v>10</v>
      </c>
      <c r="F42" s="2">
        <v>0</v>
      </c>
      <c r="G42" s="2">
        <v>268.97000000000003</v>
      </c>
      <c r="H42" s="2">
        <v>44.94</v>
      </c>
      <c r="I42" s="4"/>
      <c r="J42" s="4">
        <f t="shared" si="6"/>
        <v>1.4211275804796697</v>
      </c>
      <c r="K42" s="5">
        <f t="shared" si="7"/>
        <v>3.4844740741107221</v>
      </c>
      <c r="L42" s="5">
        <f t="shared" si="8"/>
        <v>3.4397305168295311</v>
      </c>
      <c r="M42" s="5">
        <f t="shared" si="9"/>
        <v>3.5296834085565991</v>
      </c>
      <c r="N42" s="5">
        <f t="shared" si="10"/>
        <v>4.4743557281190949E-2</v>
      </c>
      <c r="O42" s="5">
        <f t="shared" si="11"/>
        <v>4.5209334445877047E-2</v>
      </c>
    </row>
    <row r="43" spans="1:15" ht="15.6" customHeight="1" x14ac:dyDescent="0.3">
      <c r="A43" s="1">
        <v>3</v>
      </c>
      <c r="B43" s="1">
        <v>200</v>
      </c>
      <c r="C43" s="1">
        <v>1000</v>
      </c>
      <c r="D43" s="2">
        <v>0.18</v>
      </c>
      <c r="E43" s="1">
        <v>10</v>
      </c>
      <c r="F43" s="2">
        <v>0</v>
      </c>
      <c r="G43" s="2">
        <v>296.51</v>
      </c>
      <c r="H43" s="2">
        <v>31.82</v>
      </c>
      <c r="I43" s="4"/>
      <c r="J43" s="4">
        <f t="shared" si="6"/>
        <v>1.0062367514655783</v>
      </c>
      <c r="K43" s="5">
        <f t="shared" si="7"/>
        <v>3.0611190556166297</v>
      </c>
      <c r="L43" s="5">
        <f t="shared" si="8"/>
        <v>3.0323277834977995</v>
      </c>
      <c r="M43" s="5">
        <f t="shared" si="9"/>
        <v>3.0901024721312971</v>
      </c>
      <c r="N43" s="5">
        <f t="shared" si="10"/>
        <v>2.8791272118830147E-2</v>
      </c>
      <c r="O43" s="5">
        <f t="shared" si="11"/>
        <v>2.8983416514667404E-2</v>
      </c>
    </row>
    <row r="44" spans="1:15" ht="15.6" customHeight="1" x14ac:dyDescent="0.3">
      <c r="A44" s="1">
        <v>3</v>
      </c>
      <c r="B44" s="1">
        <v>200</v>
      </c>
      <c r="C44" s="1">
        <v>1000</v>
      </c>
      <c r="D44" s="2">
        <v>0.19</v>
      </c>
      <c r="E44" s="1">
        <v>10</v>
      </c>
      <c r="F44" s="2">
        <v>0</v>
      </c>
      <c r="G44" s="2">
        <v>312.33999999999997</v>
      </c>
      <c r="H44" s="2">
        <v>16.260000000000002</v>
      </c>
      <c r="I44" s="4"/>
      <c r="J44" s="4">
        <f t="shared" si="6"/>
        <v>0.51418634754337855</v>
      </c>
      <c r="K44" s="5">
        <f t="shared" si="7"/>
        <v>2.835236444215679</v>
      </c>
      <c r="L44" s="5">
        <f t="shared" si="8"/>
        <v>2.8212459323366175</v>
      </c>
      <c r="M44" s="5">
        <f t="shared" si="9"/>
        <v>2.849272171308189</v>
      </c>
      <c r="N44" s="5">
        <f t="shared" si="10"/>
        <v>1.3990511879061529E-2</v>
      </c>
      <c r="O44" s="5">
        <f t="shared" si="11"/>
        <v>1.4035727092509998E-2</v>
      </c>
    </row>
    <row r="45" spans="1:15" ht="15.6" customHeight="1" x14ac:dyDescent="0.3">
      <c r="A45" s="1">
        <v>3</v>
      </c>
      <c r="B45" s="1">
        <v>200</v>
      </c>
      <c r="C45" s="1">
        <v>1000</v>
      </c>
      <c r="D45" s="2">
        <v>0.2</v>
      </c>
      <c r="E45" s="1">
        <v>10</v>
      </c>
      <c r="F45" s="2">
        <v>0</v>
      </c>
      <c r="G45" s="2">
        <v>318.56</v>
      </c>
      <c r="H45" s="2">
        <v>11.14</v>
      </c>
      <c r="I45" s="4"/>
      <c r="J45" s="4">
        <f t="shared" si="6"/>
        <v>0.35227773134275747</v>
      </c>
      <c r="K45" s="5">
        <f t="shared" si="7"/>
        <v>2.7496000770030928</v>
      </c>
      <c r="L45" s="5">
        <f t="shared" si="8"/>
        <v>2.7401971276146737</v>
      </c>
      <c r="M45" s="5">
        <f t="shared" si="9"/>
        <v>2.7590234289847135</v>
      </c>
      <c r="N45" s="5">
        <f t="shared" si="10"/>
        <v>9.402949388419124E-3</v>
      </c>
      <c r="O45" s="5">
        <f t="shared" si="11"/>
        <v>9.4233519816206979E-3</v>
      </c>
    </row>
    <row r="46" spans="1:15" ht="15.6" customHeight="1" x14ac:dyDescent="0.3">
      <c r="A46" s="13" t="s">
        <v>16</v>
      </c>
      <c r="B46" s="7"/>
      <c r="C46" s="7"/>
      <c r="D46" s="8"/>
      <c r="E46" s="7"/>
      <c r="F46" s="8"/>
      <c r="G46" s="8"/>
      <c r="H46" s="8"/>
      <c r="I46" s="8"/>
      <c r="J46" s="9"/>
      <c r="K46" s="10"/>
      <c r="L46" s="10"/>
      <c r="M46" s="10"/>
      <c r="N46" s="10"/>
      <c r="O46" s="10"/>
    </row>
    <row r="47" spans="1:15" ht="15.6" customHeight="1" x14ac:dyDescent="0.3">
      <c r="A47" s="1">
        <v>3</v>
      </c>
      <c r="B47" s="1">
        <v>200</v>
      </c>
      <c r="C47" s="1">
        <v>1000</v>
      </c>
      <c r="D47" s="2">
        <v>0</v>
      </c>
      <c r="E47" s="1">
        <v>10</v>
      </c>
      <c r="F47" s="2">
        <v>0</v>
      </c>
      <c r="G47" s="2">
        <v>72.69</v>
      </c>
      <c r="H47" s="2">
        <v>17.350000000000001</v>
      </c>
      <c r="J47" s="4">
        <f t="shared" ref="J47:J67" si="12">H47/SQRT(C47)</f>
        <v>0.54865517403921382</v>
      </c>
      <c r="K47" s="5">
        <f t="shared" ref="K47:K67" si="13">-10*LOG10(G47/(B47*3))</f>
        <v>9.1667658152647498</v>
      </c>
      <c r="L47" s="5">
        <f t="shared" ref="L47:L67" si="14">-10*LOG10((G47+1.96*J47)/(B47*3))</f>
        <v>9.1029875974341934</v>
      </c>
      <c r="M47" s="5">
        <f t="shared" ref="M47:M67" si="15">-10*LOG10((G47-1.96*J47)/(B47*3))</f>
        <v>9.231494623887496</v>
      </c>
      <c r="N47" s="5">
        <f t="shared" ref="N47:N67" si="16">K47-L47</f>
        <v>6.3778217830556372E-2</v>
      </c>
      <c r="O47" s="5">
        <f t="shared" ref="O47:O67" si="17">M47-K47</f>
        <v>6.4728808622746214E-2</v>
      </c>
    </row>
    <row r="48" spans="1:15" ht="15.6" customHeight="1" x14ac:dyDescent="0.3">
      <c r="A48" s="1">
        <v>3</v>
      </c>
      <c r="B48" s="1">
        <v>200</v>
      </c>
      <c r="C48" s="1">
        <v>1000</v>
      </c>
      <c r="D48" s="2">
        <v>0.01</v>
      </c>
      <c r="E48" s="1">
        <v>10</v>
      </c>
      <c r="F48" s="2">
        <v>0</v>
      </c>
      <c r="G48" s="2">
        <v>71.5</v>
      </c>
      <c r="H48" s="2">
        <v>16.010000000000002</v>
      </c>
      <c r="J48" s="4">
        <f t="shared" si="12"/>
        <v>0.50628065339295758</v>
      </c>
      <c r="K48" s="5">
        <f t="shared" si="13"/>
        <v>9.2384520858256298</v>
      </c>
      <c r="L48" s="5">
        <f t="shared" si="14"/>
        <v>9.1785931093912261</v>
      </c>
      <c r="M48" s="5">
        <f t="shared" si="15"/>
        <v>9.2991476449278814</v>
      </c>
      <c r="N48" s="5">
        <f t="shared" si="16"/>
        <v>5.9858976434403743E-2</v>
      </c>
      <c r="O48" s="5">
        <f t="shared" si="17"/>
        <v>6.0695559102251551E-2</v>
      </c>
    </row>
    <row r="49" spans="1:15" ht="15.6" customHeight="1" x14ac:dyDescent="0.3">
      <c r="A49" s="1">
        <v>3</v>
      </c>
      <c r="B49" s="1">
        <v>200</v>
      </c>
      <c r="C49" s="1">
        <v>1000</v>
      </c>
      <c r="D49" s="2">
        <v>0.02</v>
      </c>
      <c r="E49" s="1">
        <v>10</v>
      </c>
      <c r="F49" s="2">
        <v>0</v>
      </c>
      <c r="G49" s="2">
        <v>71.47</v>
      </c>
      <c r="H49" s="2">
        <v>16.18</v>
      </c>
      <c r="J49" s="4">
        <f t="shared" si="12"/>
        <v>0.51165652541524376</v>
      </c>
      <c r="K49" s="5">
        <f t="shared" si="13"/>
        <v>9.2402746828247668</v>
      </c>
      <c r="L49" s="5">
        <f t="shared" si="14"/>
        <v>9.1797592930512408</v>
      </c>
      <c r="M49" s="5">
        <f t="shared" si="15"/>
        <v>9.301645235164365</v>
      </c>
      <c r="N49" s="5">
        <f t="shared" si="16"/>
        <v>6.0515389773525996E-2</v>
      </c>
      <c r="O49" s="5">
        <f t="shared" si="17"/>
        <v>6.1370552339598206E-2</v>
      </c>
    </row>
    <row r="50" spans="1:15" ht="15.6" customHeight="1" x14ac:dyDescent="0.3">
      <c r="A50" s="1">
        <v>3</v>
      </c>
      <c r="B50" s="1">
        <v>200</v>
      </c>
      <c r="C50" s="1">
        <v>1000</v>
      </c>
      <c r="D50" s="2">
        <v>0.03</v>
      </c>
      <c r="E50" s="1">
        <v>10</v>
      </c>
      <c r="F50" s="2">
        <v>0</v>
      </c>
      <c r="G50" s="2">
        <v>71.8</v>
      </c>
      <c r="H50" s="2">
        <v>15.36</v>
      </c>
      <c r="J50" s="4">
        <f t="shared" si="12"/>
        <v>0.48572584860186307</v>
      </c>
      <c r="K50" s="5">
        <f t="shared" si="13"/>
        <v>9.2202680614134334</v>
      </c>
      <c r="L50" s="5">
        <f t="shared" si="14"/>
        <v>9.163061782338616</v>
      </c>
      <c r="M50" s="5">
        <f t="shared" si="15"/>
        <v>9.2782379444563539</v>
      </c>
      <c r="N50" s="5">
        <f t="shared" si="16"/>
        <v>5.7206279074817346E-2</v>
      </c>
      <c r="O50" s="5">
        <f t="shared" si="17"/>
        <v>5.79698830429205E-2</v>
      </c>
    </row>
    <row r="51" spans="1:15" ht="15.6" customHeight="1" x14ac:dyDescent="0.3">
      <c r="A51" s="1">
        <v>3</v>
      </c>
      <c r="B51" s="1">
        <v>200</v>
      </c>
      <c r="C51" s="1">
        <v>1000</v>
      </c>
      <c r="D51" s="2">
        <v>0.04</v>
      </c>
      <c r="E51" s="1">
        <v>10</v>
      </c>
      <c r="F51" s="2">
        <v>0</v>
      </c>
      <c r="G51" s="2">
        <v>73.430000000000007</v>
      </c>
      <c r="H51" s="2">
        <v>16.239999999999998</v>
      </c>
      <c r="J51" s="4">
        <f t="shared" si="12"/>
        <v>0.51355389201134471</v>
      </c>
      <c r="K51" s="5">
        <f t="shared" si="13"/>
        <v>9.1227772217582892</v>
      </c>
      <c r="L51" s="5">
        <f t="shared" si="14"/>
        <v>9.0636492304296219</v>
      </c>
      <c r="M51" s="5">
        <f t="shared" si="15"/>
        <v>9.182721348557779</v>
      </c>
      <c r="N51" s="5">
        <f t="shared" si="16"/>
        <v>5.9127991328667306E-2</v>
      </c>
      <c r="O51" s="5">
        <f t="shared" si="17"/>
        <v>5.9944126799489794E-2</v>
      </c>
    </row>
    <row r="52" spans="1:15" ht="15.6" customHeight="1" x14ac:dyDescent="0.3">
      <c r="A52" s="1">
        <v>3</v>
      </c>
      <c r="B52" s="1">
        <v>200</v>
      </c>
      <c r="C52" s="1">
        <v>1000</v>
      </c>
      <c r="D52" s="2">
        <v>0.05</v>
      </c>
      <c r="E52" s="1">
        <v>10</v>
      </c>
      <c r="F52" s="2">
        <v>0</v>
      </c>
      <c r="G52" s="2">
        <v>75.349999999999994</v>
      </c>
      <c r="H52" s="2">
        <v>16.02</v>
      </c>
      <c r="J52" s="4">
        <f t="shared" si="12"/>
        <v>0.50659688115897439</v>
      </c>
      <c r="K52" s="5">
        <f t="shared" si="13"/>
        <v>9.0106799373299307</v>
      </c>
      <c r="L52" s="5">
        <f t="shared" si="14"/>
        <v>8.953824271078604</v>
      </c>
      <c r="M52" s="5">
        <f t="shared" si="15"/>
        <v>9.0682898142547543</v>
      </c>
      <c r="N52" s="5">
        <f t="shared" si="16"/>
        <v>5.6855666251326653E-2</v>
      </c>
      <c r="O52" s="5">
        <f t="shared" si="17"/>
        <v>5.7609876924823666E-2</v>
      </c>
    </row>
    <row r="53" spans="1:15" ht="15.6" customHeight="1" x14ac:dyDescent="0.3">
      <c r="A53" s="1">
        <v>3</v>
      </c>
      <c r="B53" s="1">
        <v>200</v>
      </c>
      <c r="C53" s="1">
        <v>1000</v>
      </c>
      <c r="D53" s="2">
        <v>0.06</v>
      </c>
      <c r="E53" s="1">
        <v>10</v>
      </c>
      <c r="F53" s="2">
        <v>0</v>
      </c>
      <c r="G53" s="2">
        <v>80.040000000000006</v>
      </c>
      <c r="H53" s="2">
        <v>16.8</v>
      </c>
      <c r="J53" s="4">
        <f t="shared" si="12"/>
        <v>0.53126264690828773</v>
      </c>
      <c r="K53" s="5">
        <f t="shared" si="13"/>
        <v>8.7484417041946987</v>
      </c>
      <c r="L53" s="5">
        <f t="shared" si="14"/>
        <v>8.6923068218043511</v>
      </c>
      <c r="M53" s="5">
        <f t="shared" si="15"/>
        <v>8.8053116716706228</v>
      </c>
      <c r="N53" s="5">
        <f t="shared" si="16"/>
        <v>5.6134882390347585E-2</v>
      </c>
      <c r="O53" s="5">
        <f t="shared" si="17"/>
        <v>5.6869967475924099E-2</v>
      </c>
    </row>
    <row r="54" spans="1:15" ht="15.6" customHeight="1" x14ac:dyDescent="0.3">
      <c r="A54" s="1">
        <v>3</v>
      </c>
      <c r="B54" s="1">
        <v>200</v>
      </c>
      <c r="C54" s="1">
        <v>1000</v>
      </c>
      <c r="D54" s="2">
        <v>7.0000000000000007E-2</v>
      </c>
      <c r="E54" s="1">
        <v>10</v>
      </c>
      <c r="F54" s="2">
        <v>0</v>
      </c>
      <c r="G54" s="2">
        <v>82.52</v>
      </c>
      <c r="H54" s="2">
        <v>16.38</v>
      </c>
      <c r="J54" s="4">
        <f t="shared" si="12"/>
        <v>0.51798108073558047</v>
      </c>
      <c r="K54" s="5">
        <f t="shared" si="13"/>
        <v>8.6159203108252971</v>
      </c>
      <c r="L54" s="5">
        <f t="shared" si="14"/>
        <v>8.5628151051968366</v>
      </c>
      <c r="M54" s="5">
        <f t="shared" si="15"/>
        <v>8.6696829300482783</v>
      </c>
      <c r="N54" s="5">
        <f t="shared" si="16"/>
        <v>5.3105205628460439E-2</v>
      </c>
      <c r="O54" s="5">
        <f t="shared" si="17"/>
        <v>5.3762619222981201E-2</v>
      </c>
    </row>
    <row r="55" spans="1:15" ht="15.6" customHeight="1" x14ac:dyDescent="0.3">
      <c r="A55" s="1">
        <v>3</v>
      </c>
      <c r="B55" s="1">
        <v>200</v>
      </c>
      <c r="C55" s="1">
        <v>1000</v>
      </c>
      <c r="D55" s="2">
        <v>0.08</v>
      </c>
      <c r="E55" s="1">
        <v>10</v>
      </c>
      <c r="F55" s="2">
        <v>0</v>
      </c>
      <c r="G55" s="2">
        <v>83.89</v>
      </c>
      <c r="H55" s="2">
        <v>16.87</v>
      </c>
      <c r="J55" s="4">
        <f t="shared" si="12"/>
        <v>0.5334762412704056</v>
      </c>
      <c r="K55" s="5">
        <f t="shared" si="13"/>
        <v>8.5444105598708084</v>
      </c>
      <c r="L55" s="5">
        <f t="shared" si="14"/>
        <v>8.4906142263272386</v>
      </c>
      <c r="M55" s="5">
        <f t="shared" si="15"/>
        <v>8.5988816388683667</v>
      </c>
      <c r="N55" s="5">
        <f t="shared" si="16"/>
        <v>5.379633354356983E-2</v>
      </c>
      <c r="O55" s="5">
        <f t="shared" si="17"/>
        <v>5.4471078997558209E-2</v>
      </c>
    </row>
    <row r="56" spans="1:15" ht="15.6" customHeight="1" x14ac:dyDescent="0.3">
      <c r="A56" s="1">
        <v>3</v>
      </c>
      <c r="B56" s="1">
        <v>200</v>
      </c>
      <c r="C56" s="1">
        <v>1000</v>
      </c>
      <c r="D56" s="2">
        <v>0.09</v>
      </c>
      <c r="E56" s="1">
        <v>10</v>
      </c>
      <c r="F56" s="2">
        <v>0</v>
      </c>
      <c r="G56" s="2">
        <v>84.54</v>
      </c>
      <c r="H56" s="2">
        <v>16.98</v>
      </c>
      <c r="J56" s="4">
        <f t="shared" si="12"/>
        <v>0.53695474669659082</v>
      </c>
      <c r="K56" s="5">
        <f t="shared" si="13"/>
        <v>8.510890068906436</v>
      </c>
      <c r="L56" s="5">
        <f t="shared" si="14"/>
        <v>8.4571588744062396</v>
      </c>
      <c r="M56" s="5">
        <f t="shared" si="15"/>
        <v>8.5652943655810425</v>
      </c>
      <c r="N56" s="5">
        <f t="shared" si="16"/>
        <v>5.3731194500196366E-2</v>
      </c>
      <c r="O56" s="5">
        <f t="shared" si="17"/>
        <v>5.4404296674606556E-2</v>
      </c>
    </row>
    <row r="57" spans="1:15" ht="15.6" customHeight="1" x14ac:dyDescent="0.3">
      <c r="A57" s="1">
        <v>3</v>
      </c>
      <c r="B57" s="1">
        <v>200</v>
      </c>
      <c r="C57" s="1">
        <v>1000</v>
      </c>
      <c r="D57" s="2">
        <v>0.1</v>
      </c>
      <c r="E57" s="1">
        <v>10</v>
      </c>
      <c r="F57" s="2">
        <v>0</v>
      </c>
      <c r="G57" s="2">
        <v>83.79</v>
      </c>
      <c r="H57" s="2">
        <v>17.079999999999998</v>
      </c>
      <c r="J57" s="4">
        <f t="shared" si="12"/>
        <v>0.54011702435675912</v>
      </c>
      <c r="K57" s="5">
        <f t="shared" si="13"/>
        <v>8.5495905996297612</v>
      </c>
      <c r="L57" s="5">
        <f t="shared" si="14"/>
        <v>8.4950641920237562</v>
      </c>
      <c r="M57" s="5">
        <f t="shared" si="15"/>
        <v>8.6048103092636836</v>
      </c>
      <c r="N57" s="5">
        <f t="shared" si="16"/>
        <v>5.4526407606005023E-2</v>
      </c>
      <c r="O57" s="5">
        <f t="shared" si="17"/>
        <v>5.521970963392242E-2</v>
      </c>
    </row>
    <row r="58" spans="1:15" ht="15.6" customHeight="1" x14ac:dyDescent="0.3">
      <c r="A58" s="1">
        <v>3</v>
      </c>
      <c r="B58" s="1">
        <v>200</v>
      </c>
      <c r="C58" s="1">
        <v>1000</v>
      </c>
      <c r="D58" s="2">
        <v>0.11</v>
      </c>
      <c r="E58" s="1">
        <v>10</v>
      </c>
      <c r="F58" s="2">
        <v>0</v>
      </c>
      <c r="G58" s="2">
        <v>84.14</v>
      </c>
      <c r="H58" s="2">
        <v>15.92</v>
      </c>
      <c r="J58" s="4">
        <f t="shared" si="12"/>
        <v>0.50343460349880598</v>
      </c>
      <c r="K58" s="5">
        <f t="shared" si="13"/>
        <v>8.5314874270266614</v>
      </c>
      <c r="L58" s="5">
        <f t="shared" si="14"/>
        <v>8.4808529006239013</v>
      </c>
      <c r="M58" s="5">
        <f t="shared" si="15"/>
        <v>8.5827192739447948</v>
      </c>
      <c r="N58" s="5">
        <f t="shared" si="16"/>
        <v>5.0634526402760116E-2</v>
      </c>
      <c r="O58" s="5">
        <f t="shared" si="17"/>
        <v>5.1231846918133428E-2</v>
      </c>
    </row>
    <row r="59" spans="1:15" ht="15.6" customHeight="1" x14ac:dyDescent="0.3">
      <c r="A59" s="1">
        <v>3</v>
      </c>
      <c r="B59" s="1">
        <v>200</v>
      </c>
      <c r="C59" s="1">
        <v>1000</v>
      </c>
      <c r="D59" s="2">
        <v>0.12</v>
      </c>
      <c r="E59" s="1">
        <v>10</v>
      </c>
      <c r="F59" s="2">
        <v>0</v>
      </c>
      <c r="G59" s="2">
        <v>86.29</v>
      </c>
      <c r="H59" s="2">
        <v>16.100000000000001</v>
      </c>
      <c r="J59" s="4">
        <f t="shared" si="12"/>
        <v>0.50912670328710918</v>
      </c>
      <c r="K59" s="5">
        <f t="shared" si="13"/>
        <v>8.4219078139447703</v>
      </c>
      <c r="L59" s="5">
        <f t="shared" si="14"/>
        <v>8.3719726318085304</v>
      </c>
      <c r="M59" s="5">
        <f t="shared" si="15"/>
        <v>8.4724238358041788</v>
      </c>
      <c r="N59" s="5">
        <f t="shared" si="16"/>
        <v>4.9935182136239931E-2</v>
      </c>
      <c r="O59" s="5">
        <f t="shared" si="17"/>
        <v>5.0516021859408511E-2</v>
      </c>
    </row>
    <row r="60" spans="1:15" ht="15.6" customHeight="1" x14ac:dyDescent="0.3">
      <c r="A60" s="1">
        <v>3</v>
      </c>
      <c r="B60" s="1">
        <v>200</v>
      </c>
      <c r="C60" s="1">
        <v>1000</v>
      </c>
      <c r="D60" s="2">
        <v>0.13</v>
      </c>
      <c r="E60" s="1">
        <v>10</v>
      </c>
      <c r="F60" s="2">
        <v>0</v>
      </c>
      <c r="G60" s="2">
        <v>90.19</v>
      </c>
      <c r="H60" s="2">
        <v>15.67</v>
      </c>
      <c r="J60" s="4">
        <f t="shared" si="12"/>
        <v>0.49552890934838506</v>
      </c>
      <c r="K60" s="5">
        <f t="shared" si="13"/>
        <v>8.229928634578501</v>
      </c>
      <c r="L60" s="5">
        <f t="shared" si="14"/>
        <v>8.183410423441531</v>
      </c>
      <c r="M60" s="5">
        <f t="shared" si="15"/>
        <v>8.2769505119722293</v>
      </c>
      <c r="N60" s="5">
        <f t="shared" si="16"/>
        <v>4.6518211136969967E-2</v>
      </c>
      <c r="O60" s="5">
        <f t="shared" si="17"/>
        <v>4.7021877393728317E-2</v>
      </c>
    </row>
    <row r="61" spans="1:15" ht="15.6" customHeight="1" x14ac:dyDescent="0.3">
      <c r="A61" s="1">
        <v>3</v>
      </c>
      <c r="B61" s="1">
        <v>200</v>
      </c>
      <c r="C61" s="1">
        <v>1000</v>
      </c>
      <c r="D61" s="2">
        <v>0.14000000000000001</v>
      </c>
      <c r="E61" s="1">
        <v>10</v>
      </c>
      <c r="F61" s="2">
        <v>0</v>
      </c>
      <c r="G61" s="2">
        <v>94.67</v>
      </c>
      <c r="H61" s="2">
        <v>15.58</v>
      </c>
      <c r="J61" s="4">
        <f t="shared" si="12"/>
        <v>0.49268285945423351</v>
      </c>
      <c r="K61" s="5">
        <f t="shared" si="13"/>
        <v>8.0193887326626658</v>
      </c>
      <c r="L61" s="5">
        <f t="shared" si="14"/>
        <v>7.9753139826564308</v>
      </c>
      <c r="M61" s="5">
        <f t="shared" si="15"/>
        <v>8.0639153689956444</v>
      </c>
      <c r="N61" s="5">
        <f t="shared" si="16"/>
        <v>4.4074750006235064E-2</v>
      </c>
      <c r="O61" s="5">
        <f t="shared" si="17"/>
        <v>4.4526636332978597E-2</v>
      </c>
    </row>
    <row r="62" spans="1:15" ht="15.6" customHeight="1" x14ac:dyDescent="0.3">
      <c r="A62" s="1">
        <v>3</v>
      </c>
      <c r="B62" s="1">
        <v>200</v>
      </c>
      <c r="C62" s="1">
        <v>1000</v>
      </c>
      <c r="D62" s="2">
        <v>0.15</v>
      </c>
      <c r="E62" s="1">
        <v>10</v>
      </c>
      <c r="F62" s="2">
        <v>0</v>
      </c>
      <c r="G62" s="2">
        <v>104.3</v>
      </c>
      <c r="H62" s="2">
        <v>16.260000000000002</v>
      </c>
      <c r="J62" s="4">
        <f t="shared" si="12"/>
        <v>0.51418634754337855</v>
      </c>
      <c r="K62" s="5">
        <f t="shared" si="13"/>
        <v>7.5986694195711282</v>
      </c>
      <c r="L62" s="5">
        <f t="shared" si="14"/>
        <v>7.5569068881305483</v>
      </c>
      <c r="M62" s="5">
        <f t="shared" si="15"/>
        <v>7.6408374494579379</v>
      </c>
      <c r="N62" s="5">
        <f t="shared" si="16"/>
        <v>4.1762531440579842E-2</v>
      </c>
      <c r="O62" s="5">
        <f t="shared" si="17"/>
        <v>4.2168029886809677E-2</v>
      </c>
    </row>
    <row r="63" spans="1:15" ht="15.6" customHeight="1" x14ac:dyDescent="0.3">
      <c r="A63" s="1">
        <v>3</v>
      </c>
      <c r="B63" s="1">
        <v>200</v>
      </c>
      <c r="C63" s="1">
        <v>1000</v>
      </c>
      <c r="D63" s="2">
        <v>0.16</v>
      </c>
      <c r="E63" s="1">
        <v>10</v>
      </c>
      <c r="F63" s="2">
        <v>0</v>
      </c>
      <c r="G63" s="2">
        <v>113.93</v>
      </c>
      <c r="H63" s="2">
        <v>15.85</v>
      </c>
      <c r="J63" s="4">
        <f t="shared" si="12"/>
        <v>0.5012210091366881</v>
      </c>
      <c r="K63" s="5">
        <f t="shared" si="13"/>
        <v>7.215131530039911</v>
      </c>
      <c r="L63" s="5">
        <f t="shared" si="14"/>
        <v>7.1778438097707129</v>
      </c>
      <c r="M63" s="5">
        <f t="shared" si="15"/>
        <v>7.2527421703049821</v>
      </c>
      <c r="N63" s="5">
        <f t="shared" si="16"/>
        <v>3.7287720269198132E-2</v>
      </c>
      <c r="O63" s="5">
        <f t="shared" si="17"/>
        <v>3.7610640265071105E-2</v>
      </c>
    </row>
    <row r="64" spans="1:15" ht="15.6" customHeight="1" x14ac:dyDescent="0.3">
      <c r="A64" s="1">
        <v>3</v>
      </c>
      <c r="B64" s="1">
        <v>200</v>
      </c>
      <c r="C64" s="1">
        <v>1000</v>
      </c>
      <c r="D64" s="2">
        <v>0.17</v>
      </c>
      <c r="E64" s="1">
        <v>10</v>
      </c>
      <c r="F64" s="2">
        <v>0</v>
      </c>
      <c r="G64" s="2">
        <v>123.65</v>
      </c>
      <c r="H64" s="2">
        <v>16.61</v>
      </c>
      <c r="J64" s="4">
        <f t="shared" si="12"/>
        <v>0.52525431935396782</v>
      </c>
      <c r="K64" s="5">
        <f t="shared" si="13"/>
        <v>6.8595712968632752</v>
      </c>
      <c r="L64" s="5">
        <f t="shared" si="14"/>
        <v>6.8235620376244368</v>
      </c>
      <c r="M64" s="5">
        <f t="shared" si="15"/>
        <v>6.8958816226693473</v>
      </c>
      <c r="N64" s="5">
        <f t="shared" si="16"/>
        <v>3.6009259238838354E-2</v>
      </c>
      <c r="O64" s="5">
        <f t="shared" si="17"/>
        <v>3.6310325806072186E-2</v>
      </c>
    </row>
    <row r="65" spans="1:15" ht="15.6" customHeight="1" x14ac:dyDescent="0.3">
      <c r="A65" s="1">
        <v>3</v>
      </c>
      <c r="B65" s="1">
        <v>200</v>
      </c>
      <c r="C65" s="1">
        <v>1000</v>
      </c>
      <c r="D65" s="2">
        <v>0.18</v>
      </c>
      <c r="E65" s="1">
        <v>10</v>
      </c>
      <c r="F65" s="2">
        <v>0</v>
      </c>
      <c r="G65" s="2">
        <v>131.59</v>
      </c>
      <c r="H65" s="2">
        <v>16.100000000000001</v>
      </c>
      <c r="J65" s="4">
        <f t="shared" si="12"/>
        <v>0.50912670328710918</v>
      </c>
      <c r="K65" s="5">
        <f t="shared" si="13"/>
        <v>6.5892836346006023</v>
      </c>
      <c r="L65" s="5">
        <f t="shared" si="14"/>
        <v>6.5564739651112358</v>
      </c>
      <c r="M65" s="5">
        <f t="shared" si="15"/>
        <v>6.6223430595089443</v>
      </c>
      <c r="N65" s="5">
        <f t="shared" si="16"/>
        <v>3.2809669489366478E-2</v>
      </c>
      <c r="O65" s="5">
        <f t="shared" si="17"/>
        <v>3.3059424908342017E-2</v>
      </c>
    </row>
    <row r="66" spans="1:15" ht="15.6" customHeight="1" x14ac:dyDescent="0.3">
      <c r="A66" s="1">
        <v>3</v>
      </c>
      <c r="B66" s="1">
        <v>200</v>
      </c>
      <c r="C66" s="1">
        <v>1000</v>
      </c>
      <c r="D66" s="2">
        <v>0.19</v>
      </c>
      <c r="E66" s="1">
        <v>10</v>
      </c>
      <c r="F66" s="2">
        <v>0</v>
      </c>
      <c r="G66" s="2">
        <v>140.33000000000001</v>
      </c>
      <c r="H66" s="2">
        <v>17.18</v>
      </c>
      <c r="J66" s="4">
        <f t="shared" si="12"/>
        <v>0.54327930201692753</v>
      </c>
      <c r="K66" s="5">
        <f t="shared" si="13"/>
        <v>6.3100072517357297</v>
      </c>
      <c r="L66" s="5">
        <f t="shared" si="14"/>
        <v>6.2771772818478011</v>
      </c>
      <c r="M66" s="5">
        <f t="shared" si="15"/>
        <v>6.3430872873809765</v>
      </c>
      <c r="N66" s="5">
        <f t="shared" si="16"/>
        <v>3.2829969887928634E-2</v>
      </c>
      <c r="O66" s="5">
        <f t="shared" si="17"/>
        <v>3.3080035645246753E-2</v>
      </c>
    </row>
    <row r="67" spans="1:15" ht="15.6" customHeight="1" x14ac:dyDescent="0.3">
      <c r="A67" s="1">
        <v>3</v>
      </c>
      <c r="B67" s="1">
        <v>200</v>
      </c>
      <c r="C67" s="1">
        <v>1000</v>
      </c>
      <c r="D67" s="2">
        <v>0.2</v>
      </c>
      <c r="E67" s="1">
        <v>10</v>
      </c>
      <c r="F67" s="2">
        <v>0</v>
      </c>
      <c r="G67" s="2">
        <v>149.16</v>
      </c>
      <c r="H67" s="2">
        <v>17.45</v>
      </c>
      <c r="J67" s="4">
        <f t="shared" si="12"/>
        <v>0.55181745169938223</v>
      </c>
      <c r="K67" s="5">
        <f t="shared" si="13"/>
        <v>6.0449887569437415</v>
      </c>
      <c r="L67" s="5">
        <f t="shared" si="14"/>
        <v>6.0136115966270314</v>
      </c>
      <c r="M67" s="5">
        <f t="shared" si="15"/>
        <v>6.0765942635633756</v>
      </c>
      <c r="N67" s="5">
        <f t="shared" si="16"/>
        <v>3.1377160316710118E-2</v>
      </c>
      <c r="O67" s="5">
        <f t="shared" si="17"/>
        <v>3.1605506619634127E-2</v>
      </c>
    </row>
    <row r="68" spans="1:15" ht="15.6" customHeight="1" x14ac:dyDescent="0.3">
      <c r="A68" s="13" t="s">
        <v>17</v>
      </c>
      <c r="B68" s="7"/>
      <c r="C68" s="7"/>
      <c r="D68" s="8"/>
      <c r="E68" s="7"/>
      <c r="F68" s="8"/>
      <c r="G68" s="8"/>
      <c r="H68" s="8"/>
      <c r="I68" s="8"/>
      <c r="J68" s="9"/>
      <c r="K68" s="10"/>
      <c r="L68" s="10"/>
      <c r="M68" s="10"/>
      <c r="N68" s="10"/>
      <c r="O68" s="10"/>
    </row>
    <row r="69" spans="1:15" ht="15.6" customHeight="1" x14ac:dyDescent="0.3">
      <c r="A69" s="1">
        <v>3</v>
      </c>
      <c r="B69" s="1">
        <v>200</v>
      </c>
      <c r="C69" s="1">
        <v>1000</v>
      </c>
      <c r="D69" s="2">
        <v>0</v>
      </c>
      <c r="E69" s="1">
        <v>10</v>
      </c>
      <c r="F69" s="2">
        <v>0</v>
      </c>
      <c r="G69" s="2">
        <v>73.16</v>
      </c>
      <c r="H69" s="2">
        <v>19.809999999999999</v>
      </c>
      <c r="J69" s="4">
        <f t="shared" ref="J69:J89" si="18">H69/SQRT(C69)</f>
        <v>0.62644720447935587</v>
      </c>
      <c r="K69" s="5">
        <f t="shared" ref="K69:K89" si="19">-10*LOG10(G69/(B69*3))</f>
        <v>9.138775535792643</v>
      </c>
      <c r="L69" s="5">
        <f t="shared" ref="L69:L89" si="20">-10*LOG10((G69+1.96*J69)/(B69*3))</f>
        <v>9.0664932241528593</v>
      </c>
      <c r="M69" s="5">
        <f t="shared" ref="M69:M89" si="21">-10*LOG10((G69-1.96*J69)/(B69*3))</f>
        <v>9.2122812775897032</v>
      </c>
      <c r="N69" s="5">
        <f t="shared" ref="N69:N89" si="22">K69-L69</f>
        <v>7.2282311639783714E-2</v>
      </c>
      <c r="O69" s="5">
        <f t="shared" ref="O69:O89" si="23">M69-K69</f>
        <v>7.3505741797060153E-2</v>
      </c>
    </row>
    <row r="70" spans="1:15" ht="15.6" customHeight="1" x14ac:dyDescent="0.3">
      <c r="A70" s="1">
        <v>3</v>
      </c>
      <c r="B70" s="1">
        <v>200</v>
      </c>
      <c r="C70" s="1">
        <v>1000</v>
      </c>
      <c r="D70" s="2">
        <v>0.01</v>
      </c>
      <c r="E70" s="1">
        <v>10</v>
      </c>
      <c r="F70" s="2">
        <v>0</v>
      </c>
      <c r="G70" s="2">
        <v>72.45</v>
      </c>
      <c r="H70" s="2">
        <v>20.51</v>
      </c>
      <c r="I70" s="4"/>
      <c r="J70" s="4">
        <f t="shared" si="18"/>
        <v>0.64858314810053463</v>
      </c>
      <c r="K70" s="5">
        <f t="shared" si="19"/>
        <v>9.1811286057645027</v>
      </c>
      <c r="L70" s="5">
        <f t="shared" si="20"/>
        <v>9.1055871921320328</v>
      </c>
      <c r="M70" s="5">
        <f t="shared" si="21"/>
        <v>9.2580072855630071</v>
      </c>
      <c r="N70" s="5">
        <f t="shared" si="22"/>
        <v>7.5541413632469911E-2</v>
      </c>
      <c r="O70" s="5">
        <f t="shared" si="23"/>
        <v>7.6878679798504379E-2</v>
      </c>
    </row>
    <row r="71" spans="1:15" ht="15.6" customHeight="1" x14ac:dyDescent="0.3">
      <c r="A71" s="1">
        <v>3</v>
      </c>
      <c r="B71" s="1">
        <v>200</v>
      </c>
      <c r="C71" s="1">
        <v>1000</v>
      </c>
      <c r="D71" s="2">
        <v>0.02</v>
      </c>
      <c r="E71" s="1">
        <v>10</v>
      </c>
      <c r="F71" s="2">
        <v>0</v>
      </c>
      <c r="G71" s="2">
        <v>69.34</v>
      </c>
      <c r="H71" s="2">
        <v>19.72</v>
      </c>
      <c r="I71" s="4"/>
      <c r="J71" s="4">
        <f t="shared" si="18"/>
        <v>0.62360115458520438</v>
      </c>
      <c r="K71" s="5">
        <f t="shared" si="19"/>
        <v>9.3716741306326572</v>
      </c>
      <c r="L71" s="5">
        <f t="shared" si="20"/>
        <v>9.2957877894780729</v>
      </c>
      <c r="M71" s="5">
        <f t="shared" si="21"/>
        <v>9.448910087356353</v>
      </c>
      <c r="N71" s="5">
        <f t="shared" si="22"/>
        <v>7.5886341154584258E-2</v>
      </c>
      <c r="O71" s="5">
        <f t="shared" si="23"/>
        <v>7.7235956723695764E-2</v>
      </c>
    </row>
    <row r="72" spans="1:15" ht="15.6" customHeight="1" x14ac:dyDescent="0.3">
      <c r="A72" s="1">
        <v>3</v>
      </c>
      <c r="B72" s="1">
        <v>200</v>
      </c>
      <c r="C72" s="1">
        <v>1000</v>
      </c>
      <c r="D72" s="2">
        <v>0.03</v>
      </c>
      <c r="E72" s="1">
        <v>10</v>
      </c>
      <c r="F72" s="2">
        <v>0</v>
      </c>
      <c r="G72" s="2">
        <v>67.430000000000007</v>
      </c>
      <c r="H72" s="2">
        <v>18.38</v>
      </c>
      <c r="I72" s="4"/>
      <c r="J72" s="4">
        <f t="shared" si="18"/>
        <v>0.58122663393894813</v>
      </c>
      <c r="K72" s="5">
        <f t="shared" si="19"/>
        <v>9.4929809070700344</v>
      </c>
      <c r="L72" s="5">
        <f t="shared" si="20"/>
        <v>9.4202214120497807</v>
      </c>
      <c r="M72" s="5">
        <f t="shared" si="21"/>
        <v>9.5669801778367773</v>
      </c>
      <c r="N72" s="5">
        <f t="shared" si="22"/>
        <v>7.2759495020253695E-2</v>
      </c>
      <c r="O72" s="5">
        <f t="shared" si="23"/>
        <v>7.3999270766742953E-2</v>
      </c>
    </row>
    <row r="73" spans="1:15" ht="15.6" customHeight="1" x14ac:dyDescent="0.3">
      <c r="A73" s="1">
        <v>3</v>
      </c>
      <c r="B73" s="1">
        <v>200</v>
      </c>
      <c r="C73" s="1">
        <v>1000</v>
      </c>
      <c r="D73" s="2">
        <v>0.04</v>
      </c>
      <c r="E73" s="1">
        <v>10</v>
      </c>
      <c r="F73" s="2">
        <v>0</v>
      </c>
      <c r="G73" s="2">
        <v>63.52</v>
      </c>
      <c r="H73" s="2">
        <v>17.2</v>
      </c>
      <c r="I73" s="4"/>
      <c r="J73" s="4">
        <f t="shared" si="18"/>
        <v>0.54391175754896126</v>
      </c>
      <c r="K73" s="5">
        <f t="shared" si="19"/>
        <v>9.7524076096460384</v>
      </c>
      <c r="L73" s="5">
        <f t="shared" si="20"/>
        <v>9.68012411308022</v>
      </c>
      <c r="M73" s="5">
        <f t="shared" si="21"/>
        <v>9.8259145768213454</v>
      </c>
      <c r="N73" s="5">
        <f t="shared" si="22"/>
        <v>7.2283496565818339E-2</v>
      </c>
      <c r="O73" s="5">
        <f t="shared" si="23"/>
        <v>7.3506967175307025E-2</v>
      </c>
    </row>
    <row r="74" spans="1:15" ht="15.6" customHeight="1" x14ac:dyDescent="0.3">
      <c r="A74" s="1">
        <v>3</v>
      </c>
      <c r="B74" s="1">
        <v>200</v>
      </c>
      <c r="C74" s="1">
        <v>1000</v>
      </c>
      <c r="D74" s="2">
        <v>0.05</v>
      </c>
      <c r="E74" s="1">
        <v>10</v>
      </c>
      <c r="F74" s="2">
        <v>0</v>
      </c>
      <c r="G74" s="2">
        <v>59.77</v>
      </c>
      <c r="H74" s="2">
        <v>15.74</v>
      </c>
      <c r="I74" s="4"/>
      <c r="J74" s="4">
        <f t="shared" si="18"/>
        <v>0.49774250371050294</v>
      </c>
      <c r="K74" s="5">
        <f t="shared" si="19"/>
        <v>10.01667994549962</v>
      </c>
      <c r="L74" s="5">
        <f t="shared" si="20"/>
        <v>9.9463660086422525</v>
      </c>
      <c r="M74" s="5">
        <f t="shared" si="21"/>
        <v>10.088151052596046</v>
      </c>
      <c r="N74" s="5">
        <f t="shared" si="22"/>
        <v>7.031393685736731E-2</v>
      </c>
      <c r="O74" s="5">
        <f t="shared" si="23"/>
        <v>7.1471107096426678E-2</v>
      </c>
    </row>
    <row r="75" spans="1:15" ht="15.6" customHeight="1" x14ac:dyDescent="0.3">
      <c r="A75" s="1">
        <v>3</v>
      </c>
      <c r="B75" s="1">
        <v>200</v>
      </c>
      <c r="C75" s="1">
        <v>1000</v>
      </c>
      <c r="D75" s="2">
        <v>0.06</v>
      </c>
      <c r="E75" s="1">
        <v>10</v>
      </c>
      <c r="F75" s="2">
        <v>0</v>
      </c>
      <c r="G75" s="2">
        <v>58.44</v>
      </c>
      <c r="H75" s="2">
        <v>14.97</v>
      </c>
      <c r="I75" s="4"/>
      <c r="J75" s="4">
        <f t="shared" si="18"/>
        <v>0.47339296572720641</v>
      </c>
      <c r="K75" s="5">
        <f t="shared" si="19"/>
        <v>10.114410431213845</v>
      </c>
      <c r="L75" s="5">
        <f t="shared" si="20"/>
        <v>10.045999275416545</v>
      </c>
      <c r="M75" s="5">
        <f t="shared" si="21"/>
        <v>10.183916486830251</v>
      </c>
      <c r="N75" s="5">
        <f t="shared" si="22"/>
        <v>6.8411155797299728E-2</v>
      </c>
      <c r="O75" s="5">
        <f t="shared" si="23"/>
        <v>6.9506055616406215E-2</v>
      </c>
    </row>
    <row r="76" spans="1:15" ht="15.6" customHeight="1" x14ac:dyDescent="0.3">
      <c r="A76" s="1">
        <v>3</v>
      </c>
      <c r="B76" s="1">
        <v>200</v>
      </c>
      <c r="C76" s="1">
        <v>1000</v>
      </c>
      <c r="D76" s="2">
        <v>7.0000000000000007E-2</v>
      </c>
      <c r="E76" s="1">
        <v>10</v>
      </c>
      <c r="F76" s="2">
        <v>0</v>
      </c>
      <c r="G76" s="2">
        <v>59.36</v>
      </c>
      <c r="H76" s="2">
        <v>15.79</v>
      </c>
      <c r="I76" s="4"/>
      <c r="J76" s="4">
        <f t="shared" si="18"/>
        <v>0.49932364254058709</v>
      </c>
      <c r="K76" s="5">
        <f t="shared" si="19"/>
        <v>10.046573581126729</v>
      </c>
      <c r="L76" s="5">
        <f t="shared" si="20"/>
        <v>9.9755548603318491</v>
      </c>
      <c r="M76" s="5">
        <f t="shared" si="21"/>
        <v>10.118772981256907</v>
      </c>
      <c r="N76" s="5">
        <f t="shared" si="22"/>
        <v>7.1018720794880252E-2</v>
      </c>
      <c r="O76" s="5">
        <f t="shared" si="23"/>
        <v>7.2199400130177338E-2</v>
      </c>
    </row>
    <row r="77" spans="1:15" ht="15.6" customHeight="1" x14ac:dyDescent="0.3">
      <c r="A77" s="1">
        <v>3</v>
      </c>
      <c r="B77" s="1">
        <v>200</v>
      </c>
      <c r="C77" s="1">
        <v>1000</v>
      </c>
      <c r="D77" s="2">
        <v>0.08</v>
      </c>
      <c r="E77" s="1">
        <v>10</v>
      </c>
      <c r="F77" s="2">
        <v>0</v>
      </c>
      <c r="G77" s="2">
        <v>61.03</v>
      </c>
      <c r="H77" s="2">
        <v>15.38</v>
      </c>
      <c r="I77" s="4"/>
      <c r="J77" s="4">
        <f t="shared" si="18"/>
        <v>0.4863583041338968</v>
      </c>
      <c r="K77" s="5">
        <f t="shared" si="19"/>
        <v>9.9260788042705066</v>
      </c>
      <c r="L77" s="5">
        <f t="shared" si="20"/>
        <v>9.8587682028055408</v>
      </c>
      <c r="M77" s="5">
        <f t="shared" si="21"/>
        <v>9.994449087273475</v>
      </c>
      <c r="N77" s="5">
        <f t="shared" si="22"/>
        <v>6.7310601464965814E-2</v>
      </c>
      <c r="O77" s="5">
        <f t="shared" si="23"/>
        <v>6.8370283002968435E-2</v>
      </c>
    </row>
    <row r="78" spans="1:15" ht="15.6" customHeight="1" x14ac:dyDescent="0.3">
      <c r="A78" s="1">
        <v>3</v>
      </c>
      <c r="B78" s="1">
        <v>200</v>
      </c>
      <c r="C78" s="1">
        <v>1000</v>
      </c>
      <c r="D78" s="2">
        <v>0.09</v>
      </c>
      <c r="E78" s="1">
        <v>10</v>
      </c>
      <c r="F78" s="2">
        <v>0</v>
      </c>
      <c r="G78" s="2">
        <v>64.599999999999994</v>
      </c>
      <c r="H78" s="2">
        <v>14.91</v>
      </c>
      <c r="I78" s="4"/>
      <c r="J78" s="4">
        <f t="shared" si="18"/>
        <v>0.47149559913110539</v>
      </c>
      <c r="K78" s="5">
        <f t="shared" si="19"/>
        <v>9.6791873238855946</v>
      </c>
      <c r="L78" s="5">
        <f t="shared" si="20"/>
        <v>9.6174997798515225</v>
      </c>
      <c r="M78" s="5">
        <f t="shared" si="21"/>
        <v>9.7417637233846417</v>
      </c>
      <c r="N78" s="5">
        <f t="shared" si="22"/>
        <v>6.1687544034072062E-2</v>
      </c>
      <c r="O78" s="5">
        <f t="shared" si="23"/>
        <v>6.2576399499047142E-2</v>
      </c>
    </row>
    <row r="79" spans="1:15" ht="15.6" customHeight="1" x14ac:dyDescent="0.3">
      <c r="A79" s="1">
        <v>3</v>
      </c>
      <c r="B79" s="1">
        <v>200</v>
      </c>
      <c r="C79" s="1">
        <v>1000</v>
      </c>
      <c r="D79" s="2">
        <v>0.1</v>
      </c>
      <c r="E79" s="1">
        <v>10</v>
      </c>
      <c r="F79" s="2">
        <v>0</v>
      </c>
      <c r="G79" s="2">
        <v>66.31</v>
      </c>
      <c r="H79" s="2">
        <v>14.95</v>
      </c>
      <c r="I79" s="4"/>
      <c r="J79" s="4">
        <f t="shared" si="18"/>
        <v>0.47276051019517268</v>
      </c>
      <c r="K79" s="5">
        <f t="shared" si="19"/>
        <v>9.5657222247163478</v>
      </c>
      <c r="L79" s="5">
        <f t="shared" si="20"/>
        <v>9.5054543786525318</v>
      </c>
      <c r="M79" s="5">
        <f t="shared" si="21"/>
        <v>9.6268382022723245</v>
      </c>
      <c r="N79" s="5">
        <f t="shared" si="22"/>
        <v>6.0267846063815966E-2</v>
      </c>
      <c r="O79" s="5">
        <f t="shared" si="23"/>
        <v>6.1115977555976642E-2</v>
      </c>
    </row>
    <row r="80" spans="1:15" ht="15.6" customHeight="1" x14ac:dyDescent="0.3">
      <c r="A80" s="1">
        <v>3</v>
      </c>
      <c r="B80" s="1">
        <v>200</v>
      </c>
      <c r="C80" s="1">
        <v>1000</v>
      </c>
      <c r="D80" s="2">
        <v>0.11</v>
      </c>
      <c r="E80" s="1">
        <v>10</v>
      </c>
      <c r="F80" s="2">
        <v>0</v>
      </c>
      <c r="G80" s="2">
        <v>68.94</v>
      </c>
      <c r="H80" s="2">
        <v>14.86</v>
      </c>
      <c r="I80" s="4"/>
      <c r="J80" s="4">
        <f t="shared" si="18"/>
        <v>0.46991446030102119</v>
      </c>
      <c r="K80" s="5">
        <f t="shared" si="19"/>
        <v>9.3967997131171472</v>
      </c>
      <c r="L80" s="5">
        <f t="shared" si="20"/>
        <v>9.3391625142951131</v>
      </c>
      <c r="M80" s="5">
        <f t="shared" si="21"/>
        <v>9.4552121414123071</v>
      </c>
      <c r="N80" s="5">
        <f t="shared" si="22"/>
        <v>5.7637198822034108E-2</v>
      </c>
      <c r="O80" s="5">
        <f t="shared" si="23"/>
        <v>5.8412428295159913E-2</v>
      </c>
    </row>
    <row r="81" spans="1:15" ht="15.6" customHeight="1" x14ac:dyDescent="0.3">
      <c r="A81" s="1">
        <v>3</v>
      </c>
      <c r="B81" s="1">
        <v>200</v>
      </c>
      <c r="C81" s="1">
        <v>1000</v>
      </c>
      <c r="D81" s="2">
        <v>0.12</v>
      </c>
      <c r="E81" s="1">
        <v>10</v>
      </c>
      <c r="F81" s="2">
        <v>0</v>
      </c>
      <c r="G81" s="2">
        <v>71.849999999999994</v>
      </c>
      <c r="H81" s="2">
        <v>14.47</v>
      </c>
      <c r="I81" s="4"/>
      <c r="J81" s="4">
        <f t="shared" si="18"/>
        <v>0.45758157742636452</v>
      </c>
      <c r="K81" s="5">
        <f t="shared" si="19"/>
        <v>9.217244779133992</v>
      </c>
      <c r="L81" s="5">
        <f t="shared" si="20"/>
        <v>9.1633699858295401</v>
      </c>
      <c r="M81" s="5">
        <f t="shared" si="21"/>
        <v>9.2717962999105392</v>
      </c>
      <c r="N81" s="5">
        <f t="shared" si="22"/>
        <v>5.3874793304451885E-2</v>
      </c>
      <c r="O81" s="5">
        <f t="shared" si="23"/>
        <v>5.4551520776547235E-2</v>
      </c>
    </row>
    <row r="82" spans="1:15" ht="15.6" customHeight="1" x14ac:dyDescent="0.3">
      <c r="A82" s="1">
        <v>3</v>
      </c>
      <c r="B82" s="1">
        <v>200</v>
      </c>
      <c r="C82" s="1">
        <v>1000</v>
      </c>
      <c r="D82" s="2">
        <v>0.13</v>
      </c>
      <c r="E82" s="1">
        <v>10</v>
      </c>
      <c r="F82" s="2">
        <v>0</v>
      </c>
      <c r="G82" s="2">
        <v>76.52</v>
      </c>
      <c r="H82" s="2">
        <v>15.98</v>
      </c>
      <c r="I82" s="4"/>
      <c r="J82" s="4">
        <f t="shared" si="18"/>
        <v>0.50533197009490705</v>
      </c>
      <c r="K82" s="5">
        <f t="shared" si="19"/>
        <v>8.9437628902838533</v>
      </c>
      <c r="L82" s="5">
        <f t="shared" si="20"/>
        <v>8.887909884117013</v>
      </c>
      <c r="M82" s="5">
        <f t="shared" si="21"/>
        <v>9.0003435697916849</v>
      </c>
      <c r="N82" s="5">
        <f t="shared" si="22"/>
        <v>5.5853006166840302E-2</v>
      </c>
      <c r="O82" s="5">
        <f t="shared" si="23"/>
        <v>5.6580679507831633E-2</v>
      </c>
    </row>
    <row r="83" spans="1:15" ht="15.6" customHeight="1" x14ac:dyDescent="0.3">
      <c r="A83" s="1">
        <v>3</v>
      </c>
      <c r="B83" s="1">
        <v>200</v>
      </c>
      <c r="C83" s="1">
        <v>1000</v>
      </c>
      <c r="D83" s="2">
        <v>0.14000000000000001</v>
      </c>
      <c r="E83" s="1">
        <v>10</v>
      </c>
      <c r="F83" s="2">
        <v>0</v>
      </c>
      <c r="G83" s="2">
        <v>81.349999999999994</v>
      </c>
      <c r="H83" s="2">
        <v>16.13</v>
      </c>
      <c r="I83" s="4"/>
      <c r="J83" s="4">
        <f t="shared" si="18"/>
        <v>0.51007538658515961</v>
      </c>
      <c r="K83" s="5">
        <f t="shared" si="19"/>
        <v>8.6779369311076611</v>
      </c>
      <c r="L83" s="5">
        <f t="shared" si="20"/>
        <v>8.624889771462831</v>
      </c>
      <c r="M83" s="5">
        <f t="shared" si="21"/>
        <v>8.7316400590824994</v>
      </c>
      <c r="N83" s="5">
        <f t="shared" si="22"/>
        <v>5.3047159644830089E-2</v>
      </c>
      <c r="O83" s="5">
        <f t="shared" si="23"/>
        <v>5.3703127974838338E-2</v>
      </c>
    </row>
    <row r="84" spans="1:15" ht="15.6" customHeight="1" x14ac:dyDescent="0.3">
      <c r="A84" s="1">
        <v>3</v>
      </c>
      <c r="B84" s="1">
        <v>200</v>
      </c>
      <c r="C84" s="1">
        <v>1000</v>
      </c>
      <c r="D84" s="2">
        <v>0.15</v>
      </c>
      <c r="E84" s="1">
        <v>10</v>
      </c>
      <c r="F84" s="2">
        <v>0</v>
      </c>
      <c r="G84" s="2">
        <v>90.56</v>
      </c>
      <c r="H84" s="2">
        <v>16.84</v>
      </c>
      <c r="I84" s="4"/>
      <c r="J84" s="4">
        <f t="shared" si="18"/>
        <v>0.53252755797235507</v>
      </c>
      <c r="K84" s="5">
        <f t="shared" si="19"/>
        <v>8.2121483653944729</v>
      </c>
      <c r="L84" s="5">
        <f t="shared" si="20"/>
        <v>8.1623797852806845</v>
      </c>
      <c r="M84" s="5">
        <f t="shared" si="21"/>
        <v>8.2624938934757548</v>
      </c>
      <c r="N84" s="5">
        <f t="shared" si="22"/>
        <v>4.9768580113788374E-2</v>
      </c>
      <c r="O84" s="5">
        <f t="shared" si="23"/>
        <v>5.0345528081281898E-2</v>
      </c>
    </row>
    <row r="85" spans="1:15" x14ac:dyDescent="0.3">
      <c r="A85" s="1">
        <v>3</v>
      </c>
      <c r="B85" s="1">
        <v>200</v>
      </c>
      <c r="C85" s="1">
        <v>1000</v>
      </c>
      <c r="D85" s="2">
        <v>0.16</v>
      </c>
      <c r="E85" s="1">
        <v>10</v>
      </c>
      <c r="F85" s="2">
        <v>0</v>
      </c>
      <c r="G85" s="2">
        <v>102.3</v>
      </c>
      <c r="H85" s="2">
        <v>18.28</v>
      </c>
      <c r="J85" s="4">
        <f t="shared" si="18"/>
        <v>0.57806435627877983</v>
      </c>
      <c r="K85" s="5">
        <f t="shared" si="19"/>
        <v>7.6827561667148352</v>
      </c>
      <c r="L85" s="5">
        <f t="shared" si="20"/>
        <v>7.6349210334336961</v>
      </c>
      <c r="M85" s="5">
        <f t="shared" si="21"/>
        <v>7.7311240509138814</v>
      </c>
      <c r="N85" s="5">
        <f t="shared" si="22"/>
        <v>4.7835133281139086E-2</v>
      </c>
      <c r="O85" s="5">
        <f t="shared" si="23"/>
        <v>4.8367884199046252E-2</v>
      </c>
    </row>
    <row r="86" spans="1:15" x14ac:dyDescent="0.3">
      <c r="A86" s="1">
        <v>3</v>
      </c>
      <c r="B86" s="1">
        <v>200</v>
      </c>
      <c r="C86" s="1">
        <v>1000</v>
      </c>
      <c r="D86" s="2">
        <v>0.17</v>
      </c>
      <c r="E86" s="1">
        <v>10</v>
      </c>
      <c r="F86" s="2">
        <v>0</v>
      </c>
      <c r="G86" s="2">
        <v>117.58</v>
      </c>
      <c r="H86" s="2">
        <v>20.89</v>
      </c>
      <c r="J86" s="4">
        <f t="shared" si="18"/>
        <v>0.66059980320917444</v>
      </c>
      <c r="K86" s="5">
        <f t="shared" si="19"/>
        <v>7.0781779453058071</v>
      </c>
      <c r="L86" s="5">
        <f t="shared" si="20"/>
        <v>7.0306154020320086</v>
      </c>
      <c r="M86" s="5">
        <f t="shared" si="21"/>
        <v>7.1262671515147193</v>
      </c>
      <c r="N86" s="5">
        <f t="shared" si="22"/>
        <v>4.7562543273798497E-2</v>
      </c>
      <c r="O86" s="5">
        <f t="shared" si="23"/>
        <v>4.8089206208912216E-2</v>
      </c>
    </row>
    <row r="87" spans="1:15" x14ac:dyDescent="0.3">
      <c r="A87" s="1">
        <v>3</v>
      </c>
      <c r="B87" s="1">
        <v>200</v>
      </c>
      <c r="C87" s="1">
        <v>1000</v>
      </c>
      <c r="D87" s="2">
        <v>0.18</v>
      </c>
      <c r="E87" s="1">
        <v>10</v>
      </c>
      <c r="F87" s="2">
        <v>0</v>
      </c>
      <c r="G87" s="2">
        <v>133.72</v>
      </c>
      <c r="H87" s="2">
        <v>20.61</v>
      </c>
      <c r="J87" s="4">
        <f t="shared" si="18"/>
        <v>0.65174542576070293</v>
      </c>
      <c r="K87" s="5">
        <f t="shared" si="19"/>
        <v>6.5195488246311273</v>
      </c>
      <c r="L87" s="5">
        <f t="shared" si="20"/>
        <v>6.4782577849002978</v>
      </c>
      <c r="M87" s="5">
        <f t="shared" si="21"/>
        <v>6.5612362149611725</v>
      </c>
      <c r="N87" s="5">
        <f t="shared" si="22"/>
        <v>4.1291039730829482E-2</v>
      </c>
      <c r="O87" s="5">
        <f t="shared" si="23"/>
        <v>4.1687390330045204E-2</v>
      </c>
    </row>
    <row r="88" spans="1:15" x14ac:dyDescent="0.3">
      <c r="A88" s="1">
        <v>3</v>
      </c>
      <c r="B88" s="1">
        <v>200</v>
      </c>
      <c r="C88" s="1">
        <v>1000</v>
      </c>
      <c r="D88" s="2">
        <v>0.19</v>
      </c>
      <c r="E88" s="1">
        <v>10</v>
      </c>
      <c r="F88" s="2">
        <v>0</v>
      </c>
      <c r="G88" s="2">
        <v>152.81</v>
      </c>
      <c r="H88" s="2">
        <v>21.69</v>
      </c>
      <c r="J88" s="4">
        <f t="shared" si="18"/>
        <v>0.68589802449052151</v>
      </c>
      <c r="K88" s="5">
        <f t="shared" si="19"/>
        <v>5.9399947466024763</v>
      </c>
      <c r="L88" s="5">
        <f t="shared" si="20"/>
        <v>5.9019543748879748</v>
      </c>
      <c r="M88" s="5">
        <f t="shared" si="21"/>
        <v>5.9783712649873628</v>
      </c>
      <c r="N88" s="5">
        <f t="shared" si="22"/>
        <v>3.8040371714501475E-2</v>
      </c>
      <c r="O88" s="5">
        <f t="shared" si="23"/>
        <v>3.8376518384886538E-2</v>
      </c>
    </row>
    <row r="89" spans="1:15" x14ac:dyDescent="0.3">
      <c r="A89" s="1">
        <v>3</v>
      </c>
      <c r="B89" s="1">
        <v>200</v>
      </c>
      <c r="C89" s="1">
        <v>1000</v>
      </c>
      <c r="D89" s="2">
        <v>0.2</v>
      </c>
      <c r="E89" s="1">
        <v>10</v>
      </c>
      <c r="F89" s="2">
        <v>0</v>
      </c>
      <c r="G89" s="2">
        <v>168.61</v>
      </c>
      <c r="H89" s="2">
        <v>21.88</v>
      </c>
      <c r="J89" s="4">
        <f t="shared" si="18"/>
        <v>0.69190635204484141</v>
      </c>
      <c r="K89" s="5">
        <f t="shared" si="19"/>
        <v>5.5126792199272678</v>
      </c>
      <c r="L89" s="5">
        <f t="shared" si="20"/>
        <v>5.4778884793399847</v>
      </c>
      <c r="M89" s="5">
        <f t="shared" si="21"/>
        <v>5.5477509166239516</v>
      </c>
      <c r="N89" s="5">
        <f t="shared" si="22"/>
        <v>3.4790740587283153E-2</v>
      </c>
      <c r="O89" s="5">
        <f t="shared" si="23"/>
        <v>3.5071696696683752E-2</v>
      </c>
    </row>
    <row r="107" spans="10:15" ht="18.75" customHeight="1" x14ac:dyDescent="0.3">
      <c r="J107" s="4"/>
      <c r="K107" s="5"/>
      <c r="L107" s="5"/>
      <c r="M107" s="5"/>
      <c r="N107" s="5"/>
      <c r="O107" s="5"/>
    </row>
  </sheetData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2EC73D-B0E9-4EAD-AE0A-FB4F9313B9A8}">
  <sheetPr codeName="Sheet3">
    <outlinePr summaryBelow="0"/>
  </sheetPr>
  <dimension ref="A1:O107"/>
  <sheetViews>
    <sheetView zoomScale="115" zoomScaleNormal="115" workbookViewId="0">
      <pane ySplit="1" topLeftCell="A2" activePane="bottomLeft" state="frozen"/>
      <selection activeCell="I20" sqref="I20"/>
      <selection pane="bottomLeft" activeCell="A47" sqref="A47:H67"/>
    </sheetView>
  </sheetViews>
  <sheetFormatPr defaultRowHeight="14.4" x14ac:dyDescent="0.3"/>
  <cols>
    <col min="1" max="1" width="13.33203125" style="1" bestFit="1" customWidth="1"/>
    <col min="2" max="2" width="10.33203125" style="1" customWidth="1"/>
    <col min="3" max="3" width="10.77734375" style="1" customWidth="1"/>
    <col min="4" max="4" width="10.21875" style="2" customWidth="1"/>
    <col min="5" max="5" width="11.77734375" style="1" customWidth="1"/>
    <col min="6" max="6" width="9.44140625" style="2" customWidth="1"/>
    <col min="7" max="9" width="10" style="2" customWidth="1"/>
    <col min="10" max="10" width="9" style="2" customWidth="1"/>
    <col min="11" max="15" width="12.44140625" style="2" customWidth="1"/>
    <col min="16" max="16" width="12.44140625" customWidth="1"/>
  </cols>
  <sheetData>
    <row r="1" spans="1:15" s="6" customFormat="1" ht="15.6" customHeight="1" x14ac:dyDescent="0.3">
      <c r="A1" s="11" t="s">
        <v>14</v>
      </c>
      <c r="B1" s="11" t="s">
        <v>0</v>
      </c>
      <c r="C1" s="11" t="s">
        <v>1</v>
      </c>
      <c r="D1" s="12" t="s">
        <v>2</v>
      </c>
      <c r="E1" s="11" t="s">
        <v>3</v>
      </c>
      <c r="F1" s="12" t="s">
        <v>4</v>
      </c>
      <c r="G1" s="12" t="s">
        <v>5</v>
      </c>
      <c r="H1" s="12" t="s">
        <v>6</v>
      </c>
      <c r="I1" s="12"/>
      <c r="J1" s="12" t="s">
        <v>7</v>
      </c>
      <c r="K1" s="12" t="s">
        <v>8</v>
      </c>
      <c r="L1" s="12" t="s">
        <v>9</v>
      </c>
      <c r="M1" s="12" t="s">
        <v>10</v>
      </c>
      <c r="N1" s="12" t="s">
        <v>11</v>
      </c>
      <c r="O1" s="12" t="s">
        <v>12</v>
      </c>
    </row>
    <row r="2" spans="1:15" ht="15.6" customHeight="1" x14ac:dyDescent="0.3">
      <c r="A2" s="13" t="s">
        <v>13</v>
      </c>
      <c r="B2" s="7"/>
      <c r="C2" s="7"/>
      <c r="D2" s="8"/>
      <c r="E2" s="7"/>
      <c r="F2" s="8"/>
      <c r="G2" s="8"/>
      <c r="H2" s="8"/>
      <c r="I2" s="8"/>
      <c r="J2" s="9"/>
      <c r="K2" s="10"/>
      <c r="L2" s="10"/>
      <c r="M2" s="10"/>
      <c r="N2" s="10"/>
      <c r="O2" s="10"/>
    </row>
    <row r="3" spans="1:15" ht="15.6" customHeight="1" x14ac:dyDescent="0.3">
      <c r="A3" s="1">
        <v>1</v>
      </c>
      <c r="B3" s="1">
        <v>200</v>
      </c>
      <c r="C3" s="1">
        <v>1000</v>
      </c>
      <c r="D3" s="2">
        <v>0</v>
      </c>
      <c r="E3" s="1">
        <v>10</v>
      </c>
      <c r="F3" s="2">
        <v>0</v>
      </c>
      <c r="G3" s="2">
        <v>179.22</v>
      </c>
      <c r="H3" s="2">
        <v>55.07</v>
      </c>
      <c r="J3" s="4">
        <f t="shared" ref="J3:J23" si="0">H3/SQRT(C3)</f>
        <v>1.7414663074547265</v>
      </c>
      <c r="K3" s="5">
        <f t="shared" ref="K3:K23" si="1">-10*LOG10(G3/(B3*3))</f>
        <v>5.2476477739587164</v>
      </c>
      <c r="L3" s="5">
        <f t="shared" ref="L3:L23" si="2">-10*LOG10((G3+1.96*J3)/(B3*3))</f>
        <v>5.1657134584973061</v>
      </c>
      <c r="M3" s="5">
        <f t="shared" ref="M3:M23" si="3">-10*LOG10((G3-1.96*J3)/(B3*3))</f>
        <v>5.3311576403130161</v>
      </c>
      <c r="N3" s="5">
        <f t="shared" ref="N3:N23" si="4">K3-L3</f>
        <v>8.1934315461410279E-2</v>
      </c>
      <c r="O3" s="5">
        <f t="shared" ref="O3:O23" si="5">M3-K3</f>
        <v>8.3509866354299689E-2</v>
      </c>
    </row>
    <row r="4" spans="1:15" ht="15.6" customHeight="1" x14ac:dyDescent="0.3">
      <c r="A4" s="3">
        <v>1</v>
      </c>
      <c r="B4" s="3">
        <v>200</v>
      </c>
      <c r="C4" s="3">
        <v>1000</v>
      </c>
      <c r="D4" s="4">
        <v>0.01</v>
      </c>
      <c r="E4" s="3">
        <v>10</v>
      </c>
      <c r="F4" s="4">
        <v>0</v>
      </c>
      <c r="G4" s="4">
        <v>169.02</v>
      </c>
      <c r="H4" s="4">
        <v>49.77</v>
      </c>
      <c r="I4" s="4"/>
      <c r="J4" s="4">
        <f t="shared" si="0"/>
        <v>1.5738655914658026</v>
      </c>
      <c r="K4" s="5">
        <f t="shared" si="1"/>
        <v>5.5021315301422664</v>
      </c>
      <c r="L4" s="5">
        <f t="shared" si="2"/>
        <v>5.4235832657236589</v>
      </c>
      <c r="M4" s="5">
        <f t="shared" si="3"/>
        <v>5.5821266591307683</v>
      </c>
      <c r="N4" s="5">
        <f t="shared" si="4"/>
        <v>7.8548264418607516E-2</v>
      </c>
      <c r="O4" s="5">
        <f t="shared" si="5"/>
        <v>7.9995128988501918E-2</v>
      </c>
    </row>
    <row r="5" spans="1:15" ht="15.6" customHeight="1" x14ac:dyDescent="0.3">
      <c r="A5" s="3">
        <v>1</v>
      </c>
      <c r="B5" s="3">
        <v>200</v>
      </c>
      <c r="C5" s="3">
        <v>1000</v>
      </c>
      <c r="D5" s="4">
        <v>0.02</v>
      </c>
      <c r="E5" s="3">
        <v>10</v>
      </c>
      <c r="F5" s="4">
        <v>0</v>
      </c>
      <c r="G5" s="4">
        <v>166.72</v>
      </c>
      <c r="H5" s="4">
        <v>51.29</v>
      </c>
      <c r="I5" s="4"/>
      <c r="J5" s="4">
        <f t="shared" si="0"/>
        <v>1.6219322119003619</v>
      </c>
      <c r="K5" s="5">
        <f t="shared" si="1"/>
        <v>5.5616354876421328</v>
      </c>
      <c r="L5" s="5">
        <f t="shared" si="2"/>
        <v>5.479604605837598</v>
      </c>
      <c r="M5" s="5">
        <f t="shared" si="3"/>
        <v>5.6452456722695992</v>
      </c>
      <c r="N5" s="5">
        <f t="shared" si="4"/>
        <v>8.2030881804534772E-2</v>
      </c>
      <c r="O5" s="5">
        <f t="shared" si="5"/>
        <v>8.3610184627466388E-2</v>
      </c>
    </row>
    <row r="6" spans="1:15" ht="15.6" customHeight="1" x14ac:dyDescent="0.3">
      <c r="A6" s="3">
        <v>1</v>
      </c>
      <c r="B6" s="3">
        <v>200</v>
      </c>
      <c r="C6" s="3">
        <v>1000</v>
      </c>
      <c r="D6" s="4">
        <v>0.03</v>
      </c>
      <c r="E6" s="3">
        <v>10</v>
      </c>
      <c r="F6" s="4">
        <v>0</v>
      </c>
      <c r="G6" s="4">
        <v>159.38</v>
      </c>
      <c r="H6" s="4">
        <v>50.19</v>
      </c>
      <c r="I6" s="4"/>
      <c r="J6" s="4">
        <f t="shared" si="0"/>
        <v>1.5871471576385094</v>
      </c>
      <c r="K6" s="5">
        <f t="shared" si="1"/>
        <v>5.757174278944106</v>
      </c>
      <c r="L6" s="5">
        <f t="shared" si="2"/>
        <v>5.6732245098554106</v>
      </c>
      <c r="M6" s="5">
        <f t="shared" si="3"/>
        <v>5.8427788496545876</v>
      </c>
      <c r="N6" s="5">
        <f t="shared" si="4"/>
        <v>8.3949769088695447E-2</v>
      </c>
      <c r="O6" s="5">
        <f t="shared" si="5"/>
        <v>8.5604570710481553E-2</v>
      </c>
    </row>
    <row r="7" spans="1:15" ht="15.6" customHeight="1" x14ac:dyDescent="0.3">
      <c r="A7" s="3">
        <v>1</v>
      </c>
      <c r="B7" s="3">
        <v>200</v>
      </c>
      <c r="C7" s="3">
        <v>1000</v>
      </c>
      <c r="D7" s="4">
        <v>0.04</v>
      </c>
      <c r="E7" s="3">
        <v>10</v>
      </c>
      <c r="F7" s="4">
        <v>0</v>
      </c>
      <c r="G7" s="4">
        <v>152.51</v>
      </c>
      <c r="H7" s="4">
        <v>53.84</v>
      </c>
      <c r="I7" s="4"/>
      <c r="J7" s="4">
        <f t="shared" si="0"/>
        <v>1.7025702922346555</v>
      </c>
      <c r="K7" s="5">
        <f t="shared" si="1"/>
        <v>5.948529293078316</v>
      </c>
      <c r="L7" s="5">
        <f t="shared" si="2"/>
        <v>5.8545269844619074</v>
      </c>
      <c r="M7" s="5">
        <f t="shared" si="3"/>
        <v>6.0446113649374142</v>
      </c>
      <c r="N7" s="5">
        <f t="shared" si="4"/>
        <v>9.400230861640857E-2</v>
      </c>
      <c r="O7" s="5">
        <f t="shared" si="5"/>
        <v>9.6082071859098228E-2</v>
      </c>
    </row>
    <row r="8" spans="1:15" ht="15.6" customHeight="1" x14ac:dyDescent="0.3">
      <c r="A8" s="3">
        <v>1</v>
      </c>
      <c r="B8" s="3">
        <v>200</v>
      </c>
      <c r="C8" s="3">
        <v>1000</v>
      </c>
      <c r="D8" s="4">
        <v>0.05</v>
      </c>
      <c r="E8" s="3">
        <v>10</v>
      </c>
      <c r="F8" s="4">
        <v>0</v>
      </c>
      <c r="G8" s="4">
        <v>143.16999999999999</v>
      </c>
      <c r="H8" s="4">
        <v>57.17</v>
      </c>
      <c r="I8" s="4"/>
      <c r="J8" s="4">
        <f t="shared" si="0"/>
        <v>1.8078741383182626</v>
      </c>
      <c r="K8" s="5">
        <f t="shared" si="1"/>
        <v>6.2229922542437643</v>
      </c>
      <c r="L8" s="5">
        <f t="shared" si="2"/>
        <v>6.1168137003870973</v>
      </c>
      <c r="M8" s="5">
        <f t="shared" si="3"/>
        <v>6.3318319120339659</v>
      </c>
      <c r="N8" s="5">
        <f t="shared" si="4"/>
        <v>0.10617855385666708</v>
      </c>
      <c r="O8" s="5">
        <f t="shared" si="5"/>
        <v>0.10883965779020155</v>
      </c>
    </row>
    <row r="9" spans="1:15" ht="15.6" customHeight="1" x14ac:dyDescent="0.3">
      <c r="A9" s="3">
        <v>1</v>
      </c>
      <c r="B9" s="3">
        <v>200</v>
      </c>
      <c r="C9" s="3">
        <v>1000</v>
      </c>
      <c r="D9" s="4">
        <v>0.06</v>
      </c>
      <c r="E9" s="3">
        <v>10</v>
      </c>
      <c r="F9" s="4">
        <v>0</v>
      </c>
      <c r="G9" s="4">
        <v>135.79</v>
      </c>
      <c r="H9" s="4">
        <v>56.02</v>
      </c>
      <c r="I9" s="4"/>
      <c r="J9" s="4">
        <f t="shared" si="0"/>
        <v>1.7715079452263263</v>
      </c>
      <c r="K9" s="5">
        <f t="shared" si="1"/>
        <v>6.4528346206455929</v>
      </c>
      <c r="L9" s="5">
        <f t="shared" si="2"/>
        <v>6.3431813725441346</v>
      </c>
      <c r="M9" s="5">
        <f t="shared" si="3"/>
        <v>6.5653283315196926</v>
      </c>
      <c r="N9" s="5">
        <f t="shared" si="4"/>
        <v>0.10965324810145827</v>
      </c>
      <c r="O9" s="5">
        <f t="shared" si="5"/>
        <v>0.11249371087409976</v>
      </c>
    </row>
    <row r="10" spans="1:15" ht="15.6" customHeight="1" x14ac:dyDescent="0.3">
      <c r="A10" s="3">
        <v>1</v>
      </c>
      <c r="B10" s="3">
        <v>200</v>
      </c>
      <c r="C10" s="3">
        <v>1000</v>
      </c>
      <c r="D10" s="4">
        <v>7.0000000000000007E-2</v>
      </c>
      <c r="E10" s="3">
        <v>10</v>
      </c>
      <c r="F10" s="4">
        <v>0</v>
      </c>
      <c r="G10" s="4">
        <v>126.43</v>
      </c>
      <c r="H10" s="4">
        <v>57.28</v>
      </c>
      <c r="I10" s="4"/>
      <c r="J10" s="4">
        <f t="shared" si="0"/>
        <v>1.8113526437444478</v>
      </c>
      <c r="K10" s="5">
        <f t="shared" si="1"/>
        <v>6.7630111244551818</v>
      </c>
      <c r="L10" s="5">
        <f t="shared" si="2"/>
        <v>6.6427387849472188</v>
      </c>
      <c r="M10" s="5">
        <f t="shared" si="3"/>
        <v>6.8867093544811722</v>
      </c>
      <c r="N10" s="5">
        <f t="shared" si="4"/>
        <v>0.12027233950796301</v>
      </c>
      <c r="O10" s="5">
        <f t="shared" si="5"/>
        <v>0.12369823002599034</v>
      </c>
    </row>
    <row r="11" spans="1:15" ht="15.6" customHeight="1" x14ac:dyDescent="0.3">
      <c r="A11" s="3">
        <v>1</v>
      </c>
      <c r="B11" s="3">
        <v>200</v>
      </c>
      <c r="C11" s="3">
        <v>1000</v>
      </c>
      <c r="D11" s="4">
        <v>0.08</v>
      </c>
      <c r="E11" s="3">
        <v>10</v>
      </c>
      <c r="F11" s="4">
        <v>0</v>
      </c>
      <c r="G11" s="4">
        <v>122.9</v>
      </c>
      <c r="H11" s="4">
        <v>58.42</v>
      </c>
      <c r="I11" s="4"/>
      <c r="J11" s="4">
        <f t="shared" si="0"/>
        <v>1.8474026090703672</v>
      </c>
      <c r="K11" s="5">
        <f t="shared" si="1"/>
        <v>6.8859936749718953</v>
      </c>
      <c r="L11" s="5">
        <f t="shared" si="2"/>
        <v>6.7598894651334867</v>
      </c>
      <c r="M11" s="5">
        <f t="shared" si="3"/>
        <v>7.0158693000411274</v>
      </c>
      <c r="N11" s="5">
        <f t="shared" si="4"/>
        <v>0.12610420983840864</v>
      </c>
      <c r="O11" s="5">
        <f t="shared" si="5"/>
        <v>0.12987562506923211</v>
      </c>
    </row>
    <row r="12" spans="1:15" ht="15.6" customHeight="1" x14ac:dyDescent="0.3">
      <c r="A12" s="3">
        <v>1</v>
      </c>
      <c r="B12" s="3">
        <v>200</v>
      </c>
      <c r="C12" s="3">
        <v>1000</v>
      </c>
      <c r="D12" s="4">
        <v>0.09</v>
      </c>
      <c r="E12" s="3">
        <v>10</v>
      </c>
      <c r="F12" s="4">
        <v>0</v>
      </c>
      <c r="G12" s="4">
        <v>123.59</v>
      </c>
      <c r="H12" s="4">
        <v>60.88</v>
      </c>
      <c r="I12" s="4"/>
      <c r="J12" s="4">
        <f t="shared" si="0"/>
        <v>1.9251946395105095</v>
      </c>
      <c r="K12" s="5">
        <f t="shared" si="1"/>
        <v>6.8616791814633178</v>
      </c>
      <c r="L12" s="5">
        <f t="shared" si="2"/>
        <v>6.7310666933327754</v>
      </c>
      <c r="M12" s="5">
        <f t="shared" si="3"/>
        <v>6.996341917197225</v>
      </c>
      <c r="N12" s="5">
        <f t="shared" si="4"/>
        <v>0.13061248813054238</v>
      </c>
      <c r="O12" s="5">
        <f t="shared" si="5"/>
        <v>0.13466273573390719</v>
      </c>
    </row>
    <row r="13" spans="1:15" ht="15.6" customHeight="1" x14ac:dyDescent="0.3">
      <c r="A13" s="3">
        <v>1</v>
      </c>
      <c r="B13" s="3">
        <v>200</v>
      </c>
      <c r="C13" s="3">
        <v>1000</v>
      </c>
      <c r="D13" s="4">
        <v>0.1</v>
      </c>
      <c r="E13" s="3">
        <v>10</v>
      </c>
      <c r="F13" s="4">
        <v>0</v>
      </c>
      <c r="G13" s="4">
        <v>126.39</v>
      </c>
      <c r="H13" s="4">
        <v>60.29</v>
      </c>
      <c r="I13" s="4"/>
      <c r="J13" s="4">
        <f t="shared" si="0"/>
        <v>1.906537201315516</v>
      </c>
      <c r="K13" s="5">
        <f t="shared" si="1"/>
        <v>6.7643853653713339</v>
      </c>
      <c r="L13" s="5">
        <f t="shared" si="2"/>
        <v>6.6378445727282838</v>
      </c>
      <c r="M13" s="5">
        <f t="shared" si="3"/>
        <v>6.8947241275661808</v>
      </c>
      <c r="N13" s="5">
        <f t="shared" si="4"/>
        <v>0.12654079264305018</v>
      </c>
      <c r="O13" s="5">
        <f t="shared" si="5"/>
        <v>0.13033876219484686</v>
      </c>
    </row>
    <row r="14" spans="1:15" ht="15.6" customHeight="1" x14ac:dyDescent="0.3">
      <c r="A14" s="3">
        <v>1</v>
      </c>
      <c r="B14" s="3">
        <v>200</v>
      </c>
      <c r="C14" s="3">
        <v>1000</v>
      </c>
      <c r="D14" s="4">
        <v>0.11</v>
      </c>
      <c r="E14" s="3">
        <v>10</v>
      </c>
      <c r="F14" s="4">
        <v>0</v>
      </c>
      <c r="G14" s="4">
        <v>138.4</v>
      </c>
      <c r="H14" s="4">
        <v>63.85</v>
      </c>
      <c r="I14" s="4"/>
      <c r="J14" s="4">
        <f t="shared" si="0"/>
        <v>2.0191142860175102</v>
      </c>
      <c r="K14" s="5">
        <f t="shared" si="1"/>
        <v>6.3701516026290461</v>
      </c>
      <c r="L14" s="5">
        <f t="shared" si="2"/>
        <v>6.2477100763766016</v>
      </c>
      <c r="M14" s="5">
        <f t="shared" si="3"/>
        <v>6.4961455438031033</v>
      </c>
      <c r="N14" s="5">
        <f t="shared" si="4"/>
        <v>0.12244152625244453</v>
      </c>
      <c r="O14" s="5">
        <f t="shared" si="5"/>
        <v>0.12599394117405716</v>
      </c>
    </row>
    <row r="15" spans="1:15" ht="15.6" customHeight="1" x14ac:dyDescent="0.3">
      <c r="A15" s="3">
        <v>1</v>
      </c>
      <c r="B15" s="3">
        <v>200</v>
      </c>
      <c r="C15" s="3">
        <v>1000</v>
      </c>
      <c r="D15" s="4">
        <v>0.12</v>
      </c>
      <c r="E15" s="3">
        <v>10</v>
      </c>
      <c r="F15" s="4">
        <v>0</v>
      </c>
      <c r="G15" s="4">
        <v>154.76</v>
      </c>
      <c r="H15" s="4">
        <v>64.17</v>
      </c>
      <c r="I15" s="4"/>
      <c r="J15" s="4">
        <f t="shared" si="0"/>
        <v>2.0292335745300489</v>
      </c>
      <c r="K15" s="5">
        <f t="shared" si="1"/>
        <v>5.8849252933443639</v>
      </c>
      <c r="L15" s="5">
        <f t="shared" si="2"/>
        <v>5.7747226737041846</v>
      </c>
      <c r="M15" s="5">
        <f t="shared" si="3"/>
        <v>5.9979972829697656</v>
      </c>
      <c r="N15" s="5">
        <f t="shared" si="4"/>
        <v>0.1102026196401793</v>
      </c>
      <c r="O15" s="5">
        <f t="shared" si="5"/>
        <v>0.11307198962540177</v>
      </c>
    </row>
    <row r="16" spans="1:15" ht="15.6" customHeight="1" x14ac:dyDescent="0.3">
      <c r="A16" s="3">
        <v>1</v>
      </c>
      <c r="B16" s="3">
        <v>200</v>
      </c>
      <c r="C16" s="3">
        <v>1000</v>
      </c>
      <c r="D16" s="4">
        <v>0.13</v>
      </c>
      <c r="E16" s="3">
        <v>10</v>
      </c>
      <c r="F16" s="4">
        <v>0</v>
      </c>
      <c r="G16" s="4">
        <v>166.21</v>
      </c>
      <c r="H16" s="4">
        <v>58.58</v>
      </c>
      <c r="I16" s="4"/>
      <c r="J16" s="4">
        <f t="shared" si="0"/>
        <v>1.8524622533266366</v>
      </c>
      <c r="K16" s="5">
        <f t="shared" si="1"/>
        <v>5.5749410088639317</v>
      </c>
      <c r="L16" s="5">
        <f t="shared" si="2"/>
        <v>5.4810915704044252</v>
      </c>
      <c r="M16" s="5">
        <f t="shared" si="3"/>
        <v>5.670863376823454</v>
      </c>
      <c r="N16" s="5">
        <f t="shared" si="4"/>
        <v>9.3849438459506551E-2</v>
      </c>
      <c r="O16" s="5">
        <f t="shared" si="5"/>
        <v>9.5922367959522248E-2</v>
      </c>
    </row>
    <row r="17" spans="1:15" ht="15.6" customHeight="1" x14ac:dyDescent="0.3">
      <c r="A17" s="3">
        <v>1</v>
      </c>
      <c r="B17" s="3">
        <v>200</v>
      </c>
      <c r="C17" s="3">
        <v>1000</v>
      </c>
      <c r="D17" s="4">
        <v>0.14000000000000001</v>
      </c>
      <c r="E17" s="3">
        <v>10</v>
      </c>
      <c r="F17" s="4">
        <v>0</v>
      </c>
      <c r="G17" s="4">
        <v>182.33</v>
      </c>
      <c r="H17" s="4">
        <v>57.6</v>
      </c>
      <c r="I17" s="4"/>
      <c r="J17" s="4">
        <f t="shared" si="0"/>
        <v>1.8214719322569866</v>
      </c>
      <c r="K17" s="5">
        <f t="shared" si="1"/>
        <v>5.1729311841250301</v>
      </c>
      <c r="L17" s="5">
        <f t="shared" si="2"/>
        <v>5.0887166206696914</v>
      </c>
      <c r="M17" s="5">
        <f t="shared" si="3"/>
        <v>5.2588111087043421</v>
      </c>
      <c r="N17" s="5">
        <f t="shared" si="4"/>
        <v>8.421456345533862E-2</v>
      </c>
      <c r="O17" s="5">
        <f t="shared" si="5"/>
        <v>8.5879924579312039E-2</v>
      </c>
    </row>
    <row r="18" spans="1:15" ht="15.6" customHeight="1" x14ac:dyDescent="0.3">
      <c r="A18" s="3">
        <v>1</v>
      </c>
      <c r="B18" s="3">
        <v>200</v>
      </c>
      <c r="C18" s="3">
        <v>1000</v>
      </c>
      <c r="D18" s="4">
        <v>0.15</v>
      </c>
      <c r="E18" s="3">
        <v>10</v>
      </c>
      <c r="F18" s="4">
        <v>0</v>
      </c>
      <c r="G18" s="4">
        <v>198.52</v>
      </c>
      <c r="H18" s="4">
        <v>56.62</v>
      </c>
      <c r="I18" s="4"/>
      <c r="J18" s="4">
        <f t="shared" si="0"/>
        <v>1.7904816111873363</v>
      </c>
      <c r="K18" s="5">
        <f t="shared" si="1"/>
        <v>4.8034698385835783</v>
      </c>
      <c r="L18" s="5">
        <f t="shared" si="2"/>
        <v>4.7273679681098812</v>
      </c>
      <c r="M18" s="5">
        <f t="shared" si="3"/>
        <v>4.8809290705277748</v>
      </c>
      <c r="N18" s="5">
        <f t="shared" si="4"/>
        <v>7.6101870473697097E-2</v>
      </c>
      <c r="O18" s="5">
        <f t="shared" si="5"/>
        <v>7.7459231944196461E-2</v>
      </c>
    </row>
    <row r="19" spans="1:15" ht="15.6" customHeight="1" x14ac:dyDescent="0.3">
      <c r="A19" s="3">
        <v>1</v>
      </c>
      <c r="B19" s="3">
        <v>200</v>
      </c>
      <c r="C19" s="3">
        <v>1000</v>
      </c>
      <c r="D19" s="4">
        <v>0.16</v>
      </c>
      <c r="E19" s="3">
        <v>10</v>
      </c>
      <c r="F19" s="4">
        <v>0</v>
      </c>
      <c r="G19" s="4">
        <v>208.84</v>
      </c>
      <c r="H19" s="4">
        <v>53.49</v>
      </c>
      <c r="I19" s="4"/>
      <c r="J19" s="4">
        <f t="shared" si="0"/>
        <v>1.6915023204240662</v>
      </c>
      <c r="K19" s="5">
        <f t="shared" si="1"/>
        <v>4.5833756584496559</v>
      </c>
      <c r="L19" s="5">
        <f t="shared" si="2"/>
        <v>4.5149727353869622</v>
      </c>
      <c r="M19" s="5">
        <f t="shared" si="3"/>
        <v>4.6528732157084924</v>
      </c>
      <c r="N19" s="5">
        <f t="shared" si="4"/>
        <v>6.8402923062693688E-2</v>
      </c>
      <c r="O19" s="5">
        <f t="shared" si="5"/>
        <v>6.9497557258836551E-2</v>
      </c>
    </row>
    <row r="20" spans="1:15" ht="15.6" customHeight="1" x14ac:dyDescent="0.3">
      <c r="A20" s="3">
        <v>1</v>
      </c>
      <c r="B20" s="3">
        <v>200</v>
      </c>
      <c r="C20" s="3">
        <v>1000</v>
      </c>
      <c r="D20" s="4">
        <v>0.17</v>
      </c>
      <c r="E20" s="3">
        <v>10</v>
      </c>
      <c r="F20" s="4">
        <v>0</v>
      </c>
      <c r="G20" s="4">
        <v>226.26</v>
      </c>
      <c r="H20" s="4">
        <v>51.57</v>
      </c>
      <c r="I20" s="4"/>
      <c r="J20" s="4">
        <f t="shared" si="0"/>
        <v>1.6307865893488334</v>
      </c>
      <c r="K20" s="5">
        <f t="shared" si="1"/>
        <v>4.2354346759437984</v>
      </c>
      <c r="L20" s="5">
        <f t="shared" si="2"/>
        <v>4.1745118515477948</v>
      </c>
      <c r="M20" s="5">
        <f t="shared" si="3"/>
        <v>4.2972242995171763</v>
      </c>
      <c r="N20" s="5">
        <f t="shared" si="4"/>
        <v>6.0922824396003605E-2</v>
      </c>
      <c r="O20" s="5">
        <f t="shared" si="5"/>
        <v>6.1789623573377916E-2</v>
      </c>
    </row>
    <row r="21" spans="1:15" ht="15.6" customHeight="1" x14ac:dyDescent="0.3">
      <c r="A21" s="3">
        <v>1</v>
      </c>
      <c r="B21" s="3">
        <v>200</v>
      </c>
      <c r="C21" s="3">
        <v>1000</v>
      </c>
      <c r="D21" s="4">
        <v>0.18</v>
      </c>
      <c r="E21" s="3">
        <v>10</v>
      </c>
      <c r="F21" s="4">
        <v>0</v>
      </c>
      <c r="G21" s="4">
        <v>244.11</v>
      </c>
      <c r="H21" s="4">
        <v>47.4</v>
      </c>
      <c r="I21" s="4"/>
      <c r="J21" s="4">
        <f t="shared" si="0"/>
        <v>1.4989196109198117</v>
      </c>
      <c r="K21" s="5">
        <f t="shared" si="1"/>
        <v>3.905656796683675</v>
      </c>
      <c r="L21" s="5">
        <f t="shared" si="2"/>
        <v>3.8537011468276736</v>
      </c>
      <c r="M21" s="5">
        <f t="shared" si="3"/>
        <v>3.9582415375078699</v>
      </c>
      <c r="N21" s="5">
        <f t="shared" si="4"/>
        <v>5.1955649856001429E-2</v>
      </c>
      <c r="O21" s="5">
        <f t="shared" si="5"/>
        <v>5.2584740824194842E-2</v>
      </c>
    </row>
    <row r="22" spans="1:15" ht="15.6" customHeight="1" x14ac:dyDescent="0.3">
      <c r="A22" s="3">
        <v>1</v>
      </c>
      <c r="B22" s="3">
        <v>200</v>
      </c>
      <c r="C22" s="3">
        <v>1000</v>
      </c>
      <c r="D22" s="4">
        <v>0.19</v>
      </c>
      <c r="E22" s="3">
        <v>10</v>
      </c>
      <c r="F22" s="4">
        <v>0</v>
      </c>
      <c r="G22" s="4">
        <v>264.61</v>
      </c>
      <c r="H22" s="4">
        <v>42.94</v>
      </c>
      <c r="I22" s="4"/>
      <c r="J22" s="4">
        <f t="shared" si="0"/>
        <v>1.3578820272763021</v>
      </c>
      <c r="K22" s="5">
        <f t="shared" si="1"/>
        <v>3.5554499759657991</v>
      </c>
      <c r="L22" s="5">
        <f t="shared" si="2"/>
        <v>3.5119868258261837</v>
      </c>
      <c r="M22" s="5">
        <f t="shared" si="3"/>
        <v>3.5993524956974854</v>
      </c>
      <c r="N22" s="5">
        <f t="shared" si="4"/>
        <v>4.3463150139615436E-2</v>
      </c>
      <c r="O22" s="5">
        <f t="shared" si="5"/>
        <v>4.390251973168624E-2</v>
      </c>
    </row>
    <row r="23" spans="1:15" ht="15.6" customHeight="1" x14ac:dyDescent="0.3">
      <c r="A23" s="3">
        <v>1</v>
      </c>
      <c r="B23" s="3">
        <v>200</v>
      </c>
      <c r="C23" s="3">
        <v>1000</v>
      </c>
      <c r="D23" s="4">
        <v>0.2</v>
      </c>
      <c r="E23" s="3">
        <v>10</v>
      </c>
      <c r="F23" s="4">
        <v>0</v>
      </c>
      <c r="G23" s="4">
        <v>281.33</v>
      </c>
      <c r="H23" s="4">
        <v>39.43</v>
      </c>
      <c r="I23" s="4"/>
      <c r="J23" s="4">
        <f t="shared" si="0"/>
        <v>1.2468860814043921</v>
      </c>
      <c r="K23" s="5">
        <f t="shared" si="1"/>
        <v>3.2893520417735194</v>
      </c>
      <c r="L23" s="5">
        <f t="shared" si="2"/>
        <v>3.2517880652097331</v>
      </c>
      <c r="M23" s="5">
        <f t="shared" si="3"/>
        <v>3.3272437619999815</v>
      </c>
      <c r="N23" s="5">
        <f t="shared" si="4"/>
        <v>3.7563976563786294E-2</v>
      </c>
      <c r="O23" s="5">
        <f t="shared" si="5"/>
        <v>3.7891720226462144E-2</v>
      </c>
    </row>
    <row r="24" spans="1:15" ht="15.6" customHeight="1" x14ac:dyDescent="0.3">
      <c r="A24" s="13" t="s">
        <v>15</v>
      </c>
      <c r="B24" s="7"/>
      <c r="C24" s="7"/>
      <c r="D24" s="8"/>
      <c r="E24" s="7"/>
      <c r="F24" s="8"/>
      <c r="G24" s="8"/>
      <c r="H24" s="8"/>
      <c r="I24" s="8"/>
      <c r="J24" s="9"/>
      <c r="K24" s="10"/>
      <c r="L24" s="10"/>
      <c r="M24" s="10"/>
      <c r="N24" s="10"/>
      <c r="O24" s="10"/>
    </row>
    <row r="25" spans="1:15" ht="15.6" customHeight="1" x14ac:dyDescent="0.3">
      <c r="A25" s="3">
        <v>2</v>
      </c>
      <c r="B25" s="3">
        <v>200</v>
      </c>
      <c r="C25" s="3">
        <v>1000</v>
      </c>
      <c r="D25" s="4">
        <v>0</v>
      </c>
      <c r="E25" s="3">
        <v>10</v>
      </c>
      <c r="F25" s="4">
        <v>0</v>
      </c>
      <c r="G25" s="4">
        <v>106.26</v>
      </c>
      <c r="H25" s="4">
        <v>25.33</v>
      </c>
      <c r="I25" s="4"/>
      <c r="J25" s="4">
        <f t="shared" ref="J25:J45" si="6">H25/SQRT(C25)</f>
        <v>0.80100493132065043</v>
      </c>
      <c r="K25" s="5">
        <f t="shared" ref="K25:K45" si="7">-10*LOG10(G25/(B25*3))</f>
        <v>7.5178143880992518</v>
      </c>
      <c r="L25" s="5">
        <f t="shared" ref="L25:L45" si="8">-10*LOG10((G25+1.96*J25)/(B25*3))</f>
        <v>7.4541176734939141</v>
      </c>
      <c r="M25" s="5">
        <f t="shared" ref="M25:M45" si="9">-10*LOG10((G25-1.96*J25)/(B25*3))</f>
        <v>7.5824592473938415</v>
      </c>
      <c r="N25" s="5">
        <f t="shared" ref="N25:N45" si="10">K25-L25</f>
        <v>6.3696714605337768E-2</v>
      </c>
      <c r="O25" s="5">
        <f t="shared" ref="O25:O45" si="11">M25-K25</f>
        <v>6.4644859294589629E-2</v>
      </c>
    </row>
    <row r="26" spans="1:15" ht="15.6" customHeight="1" x14ac:dyDescent="0.3">
      <c r="A26" s="3">
        <v>2</v>
      </c>
      <c r="B26" s="3">
        <v>200</v>
      </c>
      <c r="C26" s="3">
        <v>1000</v>
      </c>
      <c r="D26" s="4">
        <v>0.01</v>
      </c>
      <c r="E26" s="3">
        <v>10</v>
      </c>
      <c r="F26" s="3">
        <v>0</v>
      </c>
      <c r="G26" s="4">
        <v>105.08</v>
      </c>
      <c r="H26" s="4">
        <v>24.18</v>
      </c>
      <c r="I26" s="4"/>
      <c r="J26" s="4">
        <f t="shared" si="6"/>
        <v>0.76463873822871409</v>
      </c>
      <c r="K26" s="5">
        <f t="shared" si="7"/>
        <v>7.566311862696109</v>
      </c>
      <c r="L26" s="5">
        <f t="shared" si="8"/>
        <v>7.5048086467581507</v>
      </c>
      <c r="M26" s="5">
        <f t="shared" si="9"/>
        <v>7.6286985919385266</v>
      </c>
      <c r="N26" s="5">
        <f t="shared" si="10"/>
        <v>6.1503215937958267E-2</v>
      </c>
      <c r="O26" s="5">
        <f t="shared" si="11"/>
        <v>6.2386729242417616E-2</v>
      </c>
    </row>
    <row r="27" spans="1:15" ht="15.6" customHeight="1" x14ac:dyDescent="0.3">
      <c r="A27" s="3">
        <v>2</v>
      </c>
      <c r="B27" s="3">
        <v>200</v>
      </c>
      <c r="C27" s="3">
        <v>1000</v>
      </c>
      <c r="D27" s="4">
        <v>0.02</v>
      </c>
      <c r="E27" s="3">
        <v>10</v>
      </c>
      <c r="F27" s="4">
        <v>0</v>
      </c>
      <c r="G27" s="4">
        <v>102.59</v>
      </c>
      <c r="H27" s="4">
        <v>22.64</v>
      </c>
      <c r="I27" s="4"/>
      <c r="J27" s="4">
        <f t="shared" si="6"/>
        <v>0.71593966226212113</v>
      </c>
      <c r="K27" s="5">
        <f t="shared" si="7"/>
        <v>7.6704622056766354</v>
      </c>
      <c r="L27" s="5">
        <f t="shared" si="8"/>
        <v>7.6114613388533217</v>
      </c>
      <c r="M27" s="5">
        <f t="shared" si="9"/>
        <v>7.7302756782087778</v>
      </c>
      <c r="N27" s="5">
        <f t="shared" si="10"/>
        <v>5.9000866823313736E-2</v>
      </c>
      <c r="O27" s="5">
        <f t="shared" si="11"/>
        <v>5.981347253214242E-2</v>
      </c>
    </row>
    <row r="28" spans="1:15" ht="15.6" customHeight="1" x14ac:dyDescent="0.3">
      <c r="A28" s="3">
        <v>2</v>
      </c>
      <c r="B28" s="3">
        <v>200</v>
      </c>
      <c r="C28" s="3">
        <v>1000</v>
      </c>
      <c r="D28" s="4">
        <v>0.03</v>
      </c>
      <c r="E28" s="3">
        <v>10</v>
      </c>
      <c r="F28" s="4">
        <v>0</v>
      </c>
      <c r="G28" s="4">
        <v>100.28</v>
      </c>
      <c r="H28" s="4">
        <v>22.55</v>
      </c>
      <c r="I28" s="4"/>
      <c r="J28" s="4">
        <f t="shared" si="6"/>
        <v>0.71309361236796953</v>
      </c>
      <c r="K28" s="5">
        <f t="shared" si="7"/>
        <v>7.7693692509746466</v>
      </c>
      <c r="L28" s="5">
        <f t="shared" si="8"/>
        <v>7.709256926694894</v>
      </c>
      <c r="M28" s="5">
        <f t="shared" si="9"/>
        <v>7.8303253044584853</v>
      </c>
      <c r="N28" s="5">
        <f t="shared" si="10"/>
        <v>6.0112324279752549E-2</v>
      </c>
      <c r="O28" s="5">
        <f t="shared" si="11"/>
        <v>6.0956053483838701E-2</v>
      </c>
    </row>
    <row r="29" spans="1:15" ht="15.6" customHeight="1" x14ac:dyDescent="0.3">
      <c r="A29" s="3">
        <v>2</v>
      </c>
      <c r="B29" s="3">
        <v>200</v>
      </c>
      <c r="C29" s="3">
        <v>1000</v>
      </c>
      <c r="D29" s="4">
        <v>0.04</v>
      </c>
      <c r="E29" s="3">
        <v>10</v>
      </c>
      <c r="F29" s="4">
        <v>0</v>
      </c>
      <c r="G29" s="4">
        <v>94.52</v>
      </c>
      <c r="H29" s="4">
        <v>20.63</v>
      </c>
      <c r="I29" s="4"/>
      <c r="J29" s="4">
        <f t="shared" si="6"/>
        <v>0.65237788129273666</v>
      </c>
      <c r="K29" s="5">
        <f t="shared" si="7"/>
        <v>8.0262753742331228</v>
      </c>
      <c r="L29" s="5">
        <f t="shared" si="8"/>
        <v>7.9679181309568801</v>
      </c>
      <c r="M29" s="5">
        <f t="shared" si="9"/>
        <v>8.0854274712568195</v>
      </c>
      <c r="N29" s="5">
        <f t="shared" si="10"/>
        <v>5.8357243276242698E-2</v>
      </c>
      <c r="O29" s="5">
        <f t="shared" si="11"/>
        <v>5.9152097023696726E-2</v>
      </c>
    </row>
    <row r="30" spans="1:15" ht="15.6" customHeight="1" x14ac:dyDescent="0.3">
      <c r="A30" s="3">
        <v>2</v>
      </c>
      <c r="B30" s="3">
        <v>200</v>
      </c>
      <c r="C30" s="3">
        <v>1000</v>
      </c>
      <c r="D30" s="4">
        <v>0.05</v>
      </c>
      <c r="E30" s="3">
        <v>10</v>
      </c>
      <c r="F30" s="4">
        <v>0</v>
      </c>
      <c r="G30" s="4">
        <v>90.34</v>
      </c>
      <c r="H30" s="4">
        <v>19.329999999999998</v>
      </c>
      <c r="I30" s="4"/>
      <c r="J30" s="4">
        <f t="shared" si="6"/>
        <v>0.61126827171054765</v>
      </c>
      <c r="K30" s="5">
        <f t="shared" si="7"/>
        <v>8.2227116415826824</v>
      </c>
      <c r="L30" s="5">
        <f t="shared" si="8"/>
        <v>8.1654942389316769</v>
      </c>
      <c r="M30" s="5">
        <f t="shared" si="9"/>
        <v>8.2806929471784816</v>
      </c>
      <c r="N30" s="5">
        <f t="shared" si="10"/>
        <v>5.72174026510055E-2</v>
      </c>
      <c r="O30" s="5">
        <f t="shared" si="11"/>
        <v>5.7981305595799171E-2</v>
      </c>
    </row>
    <row r="31" spans="1:15" ht="15.6" customHeight="1" x14ac:dyDescent="0.3">
      <c r="A31" s="3">
        <v>2</v>
      </c>
      <c r="B31" s="3">
        <v>200</v>
      </c>
      <c r="C31" s="3">
        <v>1000</v>
      </c>
      <c r="D31" s="4">
        <v>0.06</v>
      </c>
      <c r="E31" s="3">
        <v>10</v>
      </c>
      <c r="F31" s="4">
        <v>0</v>
      </c>
      <c r="G31" s="4">
        <v>86.27</v>
      </c>
      <c r="H31" s="4">
        <v>16.95</v>
      </c>
      <c r="I31" s="4"/>
      <c r="J31" s="4">
        <f t="shared" si="6"/>
        <v>0.53600606339854029</v>
      </c>
      <c r="K31" s="5">
        <f t="shared" si="7"/>
        <v>8.4229145234576315</v>
      </c>
      <c r="L31" s="5">
        <f t="shared" si="8"/>
        <v>8.3703467903406388</v>
      </c>
      <c r="M31" s="5">
        <f t="shared" si="9"/>
        <v>8.4761263494085028</v>
      </c>
      <c r="N31" s="5">
        <f t="shared" si="10"/>
        <v>5.2567733116992699E-2</v>
      </c>
      <c r="O31" s="5">
        <f t="shared" si="11"/>
        <v>5.3211825950871372E-2</v>
      </c>
    </row>
    <row r="32" spans="1:15" ht="15.6" customHeight="1" x14ac:dyDescent="0.3">
      <c r="A32" s="3">
        <v>2</v>
      </c>
      <c r="B32" s="3">
        <v>200</v>
      </c>
      <c r="C32" s="3">
        <v>1000</v>
      </c>
      <c r="D32" s="4">
        <v>7.0000000000000007E-2</v>
      </c>
      <c r="E32" s="3">
        <v>10</v>
      </c>
      <c r="F32" s="4">
        <v>0</v>
      </c>
      <c r="G32" s="4">
        <v>83.03</v>
      </c>
      <c r="H32" s="4">
        <v>16.2</v>
      </c>
      <c r="I32" s="4"/>
      <c r="J32" s="4">
        <f t="shared" si="6"/>
        <v>0.51228898094727748</v>
      </c>
      <c r="K32" s="5">
        <f t="shared" si="7"/>
        <v>8.5891621246039289</v>
      </c>
      <c r="L32" s="5">
        <f t="shared" si="8"/>
        <v>8.5369576749049152</v>
      </c>
      <c r="M32" s="5">
        <f t="shared" si="9"/>
        <v>8.6420017416523791</v>
      </c>
      <c r="N32" s="5">
        <f t="shared" si="10"/>
        <v>5.2204449699013722E-2</v>
      </c>
      <c r="O32" s="5">
        <f t="shared" si="11"/>
        <v>5.2839617048450194E-2</v>
      </c>
    </row>
    <row r="33" spans="1:15" ht="15.6" customHeight="1" x14ac:dyDescent="0.3">
      <c r="A33" s="3">
        <v>2</v>
      </c>
      <c r="B33" s="3">
        <v>200</v>
      </c>
      <c r="C33" s="3">
        <v>1000</v>
      </c>
      <c r="D33" s="4">
        <v>0.08</v>
      </c>
      <c r="E33" s="3">
        <v>10</v>
      </c>
      <c r="F33" s="3">
        <v>0</v>
      </c>
      <c r="G33" s="4">
        <v>83.26</v>
      </c>
      <c r="H33" s="4">
        <v>15.29</v>
      </c>
      <c r="I33" s="4"/>
      <c r="J33" s="4">
        <f t="shared" si="6"/>
        <v>0.4835122542397452</v>
      </c>
      <c r="K33" s="5">
        <f t="shared" si="7"/>
        <v>8.5771484383288499</v>
      </c>
      <c r="L33" s="5">
        <f t="shared" si="8"/>
        <v>8.5279952735800286</v>
      </c>
      <c r="M33" s="5">
        <f t="shared" si="9"/>
        <v>8.6268642899017198</v>
      </c>
      <c r="N33" s="5">
        <f t="shared" si="10"/>
        <v>4.9153164748821254E-2</v>
      </c>
      <c r="O33" s="5">
        <f t="shared" si="11"/>
        <v>4.9715851572869951E-2</v>
      </c>
    </row>
    <row r="34" spans="1:15" ht="15.6" customHeight="1" x14ac:dyDescent="0.3">
      <c r="A34" s="3">
        <v>2</v>
      </c>
      <c r="B34" s="3">
        <v>200</v>
      </c>
      <c r="C34" s="3">
        <v>1000</v>
      </c>
      <c r="D34" s="4">
        <v>0.09</v>
      </c>
      <c r="E34" s="3">
        <v>10</v>
      </c>
      <c r="F34" s="4">
        <v>0</v>
      </c>
      <c r="G34" s="4">
        <v>85.6</v>
      </c>
      <c r="H34" s="4">
        <v>16.93</v>
      </c>
      <c r="I34" s="4"/>
      <c r="J34" s="4">
        <f t="shared" si="6"/>
        <v>0.53537360786650667</v>
      </c>
      <c r="K34" s="5">
        <f t="shared" si="7"/>
        <v>8.4567748570649037</v>
      </c>
      <c r="L34" s="5">
        <f t="shared" si="8"/>
        <v>8.4038603003833305</v>
      </c>
      <c r="M34" s="5">
        <f t="shared" si="9"/>
        <v>8.5103420864866095</v>
      </c>
      <c r="N34" s="5">
        <f t="shared" si="10"/>
        <v>5.2914556681573188E-2</v>
      </c>
      <c r="O34" s="5">
        <f t="shared" si="11"/>
        <v>5.3567229421705775E-2</v>
      </c>
    </row>
    <row r="35" spans="1:15" ht="15.6" customHeight="1" x14ac:dyDescent="0.3">
      <c r="A35" s="3">
        <v>2</v>
      </c>
      <c r="B35" s="3">
        <v>200</v>
      </c>
      <c r="C35" s="3">
        <v>1000</v>
      </c>
      <c r="D35" s="4">
        <v>0.1</v>
      </c>
      <c r="E35" s="3">
        <v>10</v>
      </c>
      <c r="F35" s="3">
        <v>0</v>
      </c>
      <c r="G35" s="4">
        <v>94.44</v>
      </c>
      <c r="H35" s="4">
        <v>24.62</v>
      </c>
      <c r="I35" s="4"/>
      <c r="J35" s="4">
        <f t="shared" si="6"/>
        <v>0.77855275993345507</v>
      </c>
      <c r="K35" s="5">
        <f t="shared" si="7"/>
        <v>8.0299527197695433</v>
      </c>
      <c r="L35" s="5">
        <f t="shared" si="8"/>
        <v>7.9603402280777855</v>
      </c>
      <c r="M35" s="5">
        <f t="shared" si="9"/>
        <v>8.1006992225303414</v>
      </c>
      <c r="N35" s="5">
        <f t="shared" si="10"/>
        <v>6.9612491691757761E-2</v>
      </c>
      <c r="O35" s="5">
        <f t="shared" si="11"/>
        <v>7.074650276079808E-2</v>
      </c>
    </row>
    <row r="36" spans="1:15" ht="15.6" customHeight="1" x14ac:dyDescent="0.3">
      <c r="A36" s="3">
        <v>2</v>
      </c>
      <c r="B36" s="3">
        <v>200</v>
      </c>
      <c r="C36" s="3">
        <v>1000</v>
      </c>
      <c r="D36" s="4">
        <v>0.11</v>
      </c>
      <c r="E36" s="3">
        <v>10</v>
      </c>
      <c r="F36" s="3">
        <v>0</v>
      </c>
      <c r="G36" s="4">
        <v>116.47</v>
      </c>
      <c r="H36" s="4">
        <v>51.89</v>
      </c>
      <c r="I36" s="4"/>
      <c r="J36" s="4">
        <f t="shared" si="6"/>
        <v>1.6409058778613721</v>
      </c>
      <c r="K36" s="5">
        <f t="shared" si="7"/>
        <v>7.1193717491239958</v>
      </c>
      <c r="L36" s="5">
        <f t="shared" si="8"/>
        <v>7.0010726072781617</v>
      </c>
      <c r="M36" s="5">
        <f t="shared" si="9"/>
        <v>7.2409837371863048</v>
      </c>
      <c r="N36" s="5">
        <f t="shared" si="10"/>
        <v>0.11829914184583412</v>
      </c>
      <c r="O36" s="5">
        <f t="shared" si="11"/>
        <v>0.121611988062309</v>
      </c>
    </row>
    <row r="37" spans="1:15" ht="15.6" customHeight="1" x14ac:dyDescent="0.3">
      <c r="A37" s="3">
        <v>2</v>
      </c>
      <c r="B37" s="3">
        <v>200</v>
      </c>
      <c r="C37" s="3">
        <v>1000</v>
      </c>
      <c r="D37" s="4">
        <v>0.12</v>
      </c>
      <c r="E37" s="3">
        <v>10</v>
      </c>
      <c r="F37" s="4">
        <v>0</v>
      </c>
      <c r="G37" s="4">
        <v>168.86</v>
      </c>
      <c r="H37" s="4">
        <v>75.540000000000006</v>
      </c>
      <c r="I37" s="4"/>
      <c r="J37" s="4">
        <f t="shared" si="6"/>
        <v>2.3887845444911942</v>
      </c>
      <c r="K37" s="5">
        <f t="shared" si="7"/>
        <v>5.506244654464421</v>
      </c>
      <c r="L37" s="5">
        <f t="shared" si="8"/>
        <v>5.3874660786132083</v>
      </c>
      <c r="M37" s="5">
        <f t="shared" si="9"/>
        <v>5.6283633639375994</v>
      </c>
      <c r="N37" s="5">
        <f t="shared" si="10"/>
        <v>0.11877857585121276</v>
      </c>
      <c r="O37" s="5">
        <f t="shared" si="11"/>
        <v>0.12211870947317838</v>
      </c>
    </row>
    <row r="38" spans="1:15" ht="15.6" customHeight="1" x14ac:dyDescent="0.3">
      <c r="A38" s="3">
        <v>2</v>
      </c>
      <c r="B38" s="3">
        <v>200</v>
      </c>
      <c r="C38" s="3">
        <v>1000</v>
      </c>
      <c r="D38" s="4">
        <v>0.13</v>
      </c>
      <c r="E38" s="3">
        <v>10</v>
      </c>
      <c r="F38" s="4">
        <v>0</v>
      </c>
      <c r="G38" s="4">
        <v>227.62</v>
      </c>
      <c r="H38" s="4">
        <v>67.31</v>
      </c>
      <c r="I38" s="4"/>
      <c r="J38" s="4">
        <f t="shared" si="6"/>
        <v>2.1285290930593361</v>
      </c>
      <c r="K38" s="5">
        <f t="shared" si="7"/>
        <v>4.2094083137752207</v>
      </c>
      <c r="L38" s="5">
        <f t="shared" si="8"/>
        <v>4.1305296307779473</v>
      </c>
      <c r="M38" s="5">
        <f t="shared" si="9"/>
        <v>4.2897461730277131</v>
      </c>
      <c r="N38" s="5">
        <f t="shared" si="10"/>
        <v>7.8878682997273408E-2</v>
      </c>
      <c r="O38" s="5">
        <f t="shared" si="11"/>
        <v>8.0337859252492372E-2</v>
      </c>
    </row>
    <row r="39" spans="1:15" ht="15.6" customHeight="1" x14ac:dyDescent="0.3">
      <c r="A39" s="3">
        <v>2</v>
      </c>
      <c r="B39" s="3">
        <v>200</v>
      </c>
      <c r="C39" s="3">
        <v>1000</v>
      </c>
      <c r="D39" s="4">
        <v>0.14000000000000001</v>
      </c>
      <c r="E39" s="3">
        <v>10</v>
      </c>
      <c r="F39" s="4">
        <v>0</v>
      </c>
      <c r="G39" s="4">
        <v>266.98</v>
      </c>
      <c r="H39" s="4">
        <v>43.14</v>
      </c>
      <c r="I39" s="4"/>
      <c r="J39" s="4">
        <f t="shared" si="6"/>
        <v>1.364206582596639</v>
      </c>
      <c r="K39" s="5">
        <f t="shared" si="7"/>
        <v>3.5167252165939997</v>
      </c>
      <c r="L39" s="5">
        <f t="shared" si="8"/>
        <v>3.4734463325892726</v>
      </c>
      <c r="M39" s="5">
        <f t="shared" si="9"/>
        <v>3.5604397338882614</v>
      </c>
      <c r="N39" s="5">
        <f t="shared" si="10"/>
        <v>4.3278884004727125E-2</v>
      </c>
      <c r="O39" s="5">
        <f t="shared" si="11"/>
        <v>4.3714517294261679E-2</v>
      </c>
    </row>
    <row r="40" spans="1:15" ht="15.6" customHeight="1" x14ac:dyDescent="0.3">
      <c r="A40" s="3">
        <v>2</v>
      </c>
      <c r="B40" s="3">
        <v>200</v>
      </c>
      <c r="C40" s="3">
        <v>1000</v>
      </c>
      <c r="D40" s="4">
        <v>0.15</v>
      </c>
      <c r="E40" s="3">
        <v>10</v>
      </c>
      <c r="F40" s="4">
        <v>0</v>
      </c>
      <c r="G40" s="4">
        <v>286.88</v>
      </c>
      <c r="H40" s="4">
        <v>20.72</v>
      </c>
      <c r="I40" s="4"/>
      <c r="J40" s="4">
        <f t="shared" si="6"/>
        <v>0.65522393118688815</v>
      </c>
      <c r="K40" s="5">
        <f t="shared" si="7"/>
        <v>3.2045097816553603</v>
      </c>
      <c r="L40" s="5">
        <f t="shared" si="8"/>
        <v>3.1851116637554568</v>
      </c>
      <c r="M40" s="5">
        <f t="shared" si="9"/>
        <v>3.2239949317154979</v>
      </c>
      <c r="N40" s="5">
        <f t="shared" si="10"/>
        <v>1.9398117899903422E-2</v>
      </c>
      <c r="O40" s="5">
        <f t="shared" si="11"/>
        <v>1.9485150060137624E-2</v>
      </c>
    </row>
    <row r="41" spans="1:15" ht="15.6" customHeight="1" x14ac:dyDescent="0.3">
      <c r="A41" s="3">
        <v>2</v>
      </c>
      <c r="B41" s="3">
        <v>200</v>
      </c>
      <c r="C41" s="3">
        <v>1000</v>
      </c>
      <c r="D41" s="4">
        <v>0.16</v>
      </c>
      <c r="E41" s="3">
        <v>10</v>
      </c>
      <c r="F41" s="4">
        <v>0</v>
      </c>
      <c r="G41" s="4">
        <v>295.32</v>
      </c>
      <c r="H41" s="4">
        <v>9.6300000000000008</v>
      </c>
      <c r="I41" s="4"/>
      <c r="J41" s="4">
        <f t="shared" si="6"/>
        <v>0.30452733867421494</v>
      </c>
      <c r="K41" s="5">
        <f t="shared" si="7"/>
        <v>3.0785839063321632</v>
      </c>
      <c r="L41" s="5">
        <f t="shared" si="8"/>
        <v>3.0698152045315021</v>
      </c>
      <c r="M41" s="5">
        <f t="shared" si="9"/>
        <v>3.087370348565011</v>
      </c>
      <c r="N41" s="5">
        <f t="shared" si="10"/>
        <v>8.7687018006610273E-3</v>
      </c>
      <c r="O41" s="5">
        <f t="shared" si="11"/>
        <v>8.7864422328478575E-3</v>
      </c>
    </row>
    <row r="42" spans="1:15" ht="15.6" customHeight="1" x14ac:dyDescent="0.3">
      <c r="A42" s="3">
        <v>2</v>
      </c>
      <c r="B42" s="3">
        <v>200</v>
      </c>
      <c r="C42" s="3">
        <v>1000</v>
      </c>
      <c r="D42" s="4">
        <v>0.17</v>
      </c>
      <c r="E42" s="3">
        <v>10</v>
      </c>
      <c r="F42" s="4">
        <v>0</v>
      </c>
      <c r="G42" s="4">
        <v>298.87</v>
      </c>
      <c r="H42" s="4">
        <v>8.7100000000000009</v>
      </c>
      <c r="I42" s="4"/>
      <c r="J42" s="4">
        <f t="shared" si="6"/>
        <v>0.27543438420066585</v>
      </c>
      <c r="K42" s="5">
        <f t="shared" si="7"/>
        <v>3.0266892680752782</v>
      </c>
      <c r="L42" s="5">
        <f t="shared" si="8"/>
        <v>3.0188516467972599</v>
      </c>
      <c r="M42" s="5">
        <f t="shared" si="9"/>
        <v>3.0345410593198574</v>
      </c>
      <c r="N42" s="5">
        <f t="shared" si="10"/>
        <v>7.8376212780182364E-3</v>
      </c>
      <c r="O42" s="5">
        <f t="shared" si="11"/>
        <v>7.8517912445792426E-3</v>
      </c>
    </row>
    <row r="43" spans="1:15" ht="15.6" customHeight="1" x14ac:dyDescent="0.3">
      <c r="A43" s="3">
        <v>2</v>
      </c>
      <c r="B43" s="3">
        <v>200</v>
      </c>
      <c r="C43" s="3">
        <v>1000</v>
      </c>
      <c r="D43" s="4">
        <v>0.18</v>
      </c>
      <c r="E43" s="3">
        <v>10</v>
      </c>
      <c r="F43" s="4">
        <v>0</v>
      </c>
      <c r="G43" s="4">
        <v>300.57</v>
      </c>
      <c r="H43" s="4">
        <v>8.43</v>
      </c>
      <c r="I43" s="4"/>
      <c r="J43" s="4">
        <f t="shared" si="6"/>
        <v>0.2665800067521944</v>
      </c>
      <c r="K43" s="5">
        <f t="shared" si="7"/>
        <v>3.0020561905837568</v>
      </c>
      <c r="L43" s="5">
        <f t="shared" si="8"/>
        <v>2.9945131729934853</v>
      </c>
      <c r="M43" s="5">
        <f t="shared" si="9"/>
        <v>3.0096123320161383</v>
      </c>
      <c r="N43" s="5">
        <f t="shared" si="10"/>
        <v>7.5430175902715391E-3</v>
      </c>
      <c r="O43" s="5">
        <f t="shared" si="11"/>
        <v>7.5561414323814802E-3</v>
      </c>
    </row>
    <row r="44" spans="1:15" ht="15.6" customHeight="1" x14ac:dyDescent="0.3">
      <c r="A44" s="3">
        <v>2</v>
      </c>
      <c r="B44" s="3">
        <v>200</v>
      </c>
      <c r="C44" s="3">
        <v>1000</v>
      </c>
      <c r="D44" s="4">
        <v>0.19</v>
      </c>
      <c r="E44" s="3">
        <v>10</v>
      </c>
      <c r="F44" s="4">
        <v>0</v>
      </c>
      <c r="G44" s="4">
        <v>301.52999999999997</v>
      </c>
      <c r="H44" s="4">
        <v>7.99</v>
      </c>
      <c r="I44" s="4"/>
      <c r="J44" s="4">
        <f t="shared" si="6"/>
        <v>0.25266598504745352</v>
      </c>
      <c r="K44" s="5">
        <f t="shared" si="7"/>
        <v>2.9882072267596653</v>
      </c>
      <c r="L44" s="5">
        <f t="shared" si="8"/>
        <v>2.9810803337212874</v>
      </c>
      <c r="M44" s="5">
        <f t="shared" si="9"/>
        <v>2.9953458344541204</v>
      </c>
      <c r="N44" s="5">
        <f t="shared" si="10"/>
        <v>7.1268930383778795E-3</v>
      </c>
      <c r="O44" s="5">
        <f t="shared" si="11"/>
        <v>7.138607694455068E-3</v>
      </c>
    </row>
    <row r="45" spans="1:15" ht="15.6" customHeight="1" x14ac:dyDescent="0.3">
      <c r="A45" s="3">
        <v>2</v>
      </c>
      <c r="B45" s="3">
        <v>200</v>
      </c>
      <c r="C45" s="3">
        <v>1000</v>
      </c>
      <c r="D45" s="4">
        <v>0.2</v>
      </c>
      <c r="E45" s="3">
        <v>10</v>
      </c>
      <c r="F45" s="4">
        <v>0</v>
      </c>
      <c r="G45" s="4">
        <v>302.64</v>
      </c>
      <c r="H45" s="4">
        <v>7.96</v>
      </c>
      <c r="I45" s="4"/>
      <c r="J45" s="4">
        <f t="shared" si="6"/>
        <v>0.25171730174940299</v>
      </c>
      <c r="K45" s="5">
        <f t="shared" si="7"/>
        <v>2.9722492209895601</v>
      </c>
      <c r="L45" s="5">
        <f t="shared" si="8"/>
        <v>2.965175085600809</v>
      </c>
      <c r="M45" s="5">
        <f t="shared" si="9"/>
        <v>2.9793348980976679</v>
      </c>
      <c r="N45" s="5">
        <f t="shared" si="10"/>
        <v>7.0741353887511238E-3</v>
      </c>
      <c r="O45" s="5">
        <f t="shared" si="11"/>
        <v>7.0856771081078129E-3</v>
      </c>
    </row>
    <row r="46" spans="1:15" ht="15.6" customHeight="1" x14ac:dyDescent="0.3">
      <c r="A46" s="13" t="s">
        <v>16</v>
      </c>
      <c r="B46" s="7"/>
      <c r="C46" s="7"/>
      <c r="D46" s="8"/>
      <c r="E46" s="7"/>
      <c r="F46" s="8"/>
      <c r="G46" s="8"/>
      <c r="H46" s="8"/>
      <c r="I46" s="8"/>
      <c r="J46" s="9"/>
      <c r="K46" s="10"/>
      <c r="L46" s="10"/>
      <c r="M46" s="10"/>
      <c r="N46" s="10"/>
      <c r="O46" s="10"/>
    </row>
    <row r="47" spans="1:15" ht="15.6" customHeight="1" x14ac:dyDescent="0.3">
      <c r="A47" s="1">
        <v>3</v>
      </c>
      <c r="B47" s="1">
        <v>200</v>
      </c>
      <c r="C47" s="1">
        <v>1000</v>
      </c>
      <c r="D47" s="2">
        <v>0</v>
      </c>
      <c r="E47" s="1">
        <v>10</v>
      </c>
      <c r="F47" s="2">
        <v>0</v>
      </c>
      <c r="G47" s="2">
        <v>130.66</v>
      </c>
      <c r="H47" s="2">
        <v>24.9</v>
      </c>
      <c r="J47" s="4">
        <f t="shared" ref="J47:J67" si="12">H47/SQRT(C47)</f>
        <v>0.78740713738192647</v>
      </c>
      <c r="K47" s="5">
        <f t="shared" ref="K47:K67" si="13">-10*LOG10(G47/(B47*3))</f>
        <v>6.6200859652984985</v>
      </c>
      <c r="L47" s="5">
        <f t="shared" ref="L47:L67" si="14">-10*LOG10((G47+1.96*J47)/(B47*3))</f>
        <v>6.5690889533729324</v>
      </c>
      <c r="M47" s="5">
        <f t="shared" ref="M47:M67" si="15">-10*LOG10((G47-1.96*J47)/(B47*3))</f>
        <v>6.6716889318954813</v>
      </c>
      <c r="N47" s="5">
        <f t="shared" ref="N47:N67" si="16">K47-L47</f>
        <v>5.0997011925566049E-2</v>
      </c>
      <c r="O47" s="5">
        <f t="shared" ref="O47:O67" si="17">M47-K47</f>
        <v>5.1602966596982824E-2</v>
      </c>
    </row>
    <row r="48" spans="1:15" ht="15.6" customHeight="1" x14ac:dyDescent="0.3">
      <c r="A48" s="1">
        <v>3</v>
      </c>
      <c r="B48" s="1">
        <v>200</v>
      </c>
      <c r="C48" s="1">
        <v>1000</v>
      </c>
      <c r="D48" s="2">
        <v>0.01</v>
      </c>
      <c r="E48" s="1">
        <v>10</v>
      </c>
      <c r="F48" s="2">
        <v>0</v>
      </c>
      <c r="G48" s="2">
        <v>131</v>
      </c>
      <c r="H48" s="2">
        <v>24.65</v>
      </c>
      <c r="J48" s="4">
        <f t="shared" si="12"/>
        <v>0.7795014432315055</v>
      </c>
      <c r="K48" s="5">
        <f t="shared" si="13"/>
        <v>6.6087995472787942</v>
      </c>
      <c r="L48" s="5">
        <f t="shared" si="14"/>
        <v>6.5584418695972282</v>
      </c>
      <c r="M48" s="5">
        <f t="shared" si="15"/>
        <v>6.6597479933481374</v>
      </c>
      <c r="N48" s="5">
        <f t="shared" si="16"/>
        <v>5.035767768156596E-2</v>
      </c>
      <c r="O48" s="5">
        <f t="shared" si="17"/>
        <v>5.0948446069343234E-2</v>
      </c>
    </row>
    <row r="49" spans="1:15" ht="15.6" customHeight="1" x14ac:dyDescent="0.3">
      <c r="A49" s="1">
        <v>3</v>
      </c>
      <c r="B49" s="1">
        <v>200</v>
      </c>
      <c r="C49" s="1">
        <v>1000</v>
      </c>
      <c r="D49" s="2">
        <v>0.02</v>
      </c>
      <c r="E49" s="1">
        <v>10</v>
      </c>
      <c r="F49" s="2">
        <v>0</v>
      </c>
      <c r="G49" s="2">
        <v>127.96</v>
      </c>
      <c r="H49" s="2">
        <v>24.28</v>
      </c>
      <c r="J49" s="4">
        <f t="shared" si="12"/>
        <v>0.76780101588888261</v>
      </c>
      <c r="K49" s="5">
        <f t="shared" si="13"/>
        <v>6.7107701897157419</v>
      </c>
      <c r="L49" s="5">
        <f t="shared" si="14"/>
        <v>6.6599924374636155</v>
      </c>
      <c r="M49" s="5">
        <f t="shared" si="15"/>
        <v>6.762148666533248</v>
      </c>
      <c r="N49" s="5">
        <f t="shared" si="16"/>
        <v>5.077775225212644E-2</v>
      </c>
      <c r="O49" s="5">
        <f t="shared" si="17"/>
        <v>5.1378476817506069E-2</v>
      </c>
    </row>
    <row r="50" spans="1:15" ht="15.6" customHeight="1" x14ac:dyDescent="0.3">
      <c r="A50" s="1">
        <v>3</v>
      </c>
      <c r="B50" s="1">
        <v>200</v>
      </c>
      <c r="C50" s="1">
        <v>1000</v>
      </c>
      <c r="D50" s="2">
        <v>0.03</v>
      </c>
      <c r="E50" s="1">
        <v>10</v>
      </c>
      <c r="F50" s="2">
        <v>0</v>
      </c>
      <c r="G50" s="2">
        <v>125.96</v>
      </c>
      <c r="H50" s="2">
        <v>24.33</v>
      </c>
      <c r="J50" s="4">
        <f t="shared" si="12"/>
        <v>0.76938215471896665</v>
      </c>
      <c r="K50" s="5">
        <f t="shared" si="13"/>
        <v>6.7791859841913737</v>
      </c>
      <c r="L50" s="5">
        <f t="shared" si="14"/>
        <v>6.7275011609243389</v>
      </c>
      <c r="M50" s="5">
        <f t="shared" si="15"/>
        <v>6.8314933176888335</v>
      </c>
      <c r="N50" s="5">
        <f t="shared" si="16"/>
        <v>5.168482326703483E-2</v>
      </c>
      <c r="O50" s="5">
        <f t="shared" si="17"/>
        <v>5.2307333497459751E-2</v>
      </c>
    </row>
    <row r="51" spans="1:15" ht="15.6" customHeight="1" x14ac:dyDescent="0.3">
      <c r="A51" s="1">
        <v>3</v>
      </c>
      <c r="B51" s="1">
        <v>200</v>
      </c>
      <c r="C51" s="1">
        <v>1000</v>
      </c>
      <c r="D51" s="2">
        <v>0.04</v>
      </c>
      <c r="E51" s="1">
        <v>10</v>
      </c>
      <c r="F51" s="2">
        <v>0</v>
      </c>
      <c r="G51" s="2">
        <v>121.3</v>
      </c>
      <c r="H51" s="2">
        <v>23.46</v>
      </c>
      <c r="J51" s="4">
        <f t="shared" si="12"/>
        <v>0.74187033907550182</v>
      </c>
      <c r="K51" s="5">
        <f t="shared" si="13"/>
        <v>6.9429044951707066</v>
      </c>
      <c r="L51" s="5">
        <f t="shared" si="14"/>
        <v>6.8911536463294514</v>
      </c>
      <c r="M51" s="5">
        <f t="shared" si="15"/>
        <v>6.9952794553509872</v>
      </c>
      <c r="N51" s="5">
        <f t="shared" si="16"/>
        <v>5.1750848841255248E-2</v>
      </c>
      <c r="O51" s="5">
        <f t="shared" si="17"/>
        <v>5.2374960180280539E-2</v>
      </c>
    </row>
    <row r="52" spans="1:15" ht="15.6" customHeight="1" x14ac:dyDescent="0.3">
      <c r="A52" s="1">
        <v>3</v>
      </c>
      <c r="B52" s="1">
        <v>200</v>
      </c>
      <c r="C52" s="1">
        <v>1000</v>
      </c>
      <c r="D52" s="2">
        <v>0.05</v>
      </c>
      <c r="E52" s="1">
        <v>10</v>
      </c>
      <c r="F52" s="2">
        <v>0</v>
      </c>
      <c r="G52" s="2">
        <v>114.02</v>
      </c>
      <c r="H52" s="2">
        <v>22.54</v>
      </c>
      <c r="J52" s="4">
        <f t="shared" si="12"/>
        <v>0.71277738460195272</v>
      </c>
      <c r="K52" s="5">
        <f t="shared" si="13"/>
        <v>7.2117021371553047</v>
      </c>
      <c r="L52" s="5">
        <f t="shared" si="14"/>
        <v>7.1588130441541766</v>
      </c>
      <c r="M52" s="5">
        <f t="shared" si="15"/>
        <v>7.2652432710076909</v>
      </c>
      <c r="N52" s="5">
        <f t="shared" si="16"/>
        <v>5.2889093001128096E-2</v>
      </c>
      <c r="O52" s="5">
        <f t="shared" si="17"/>
        <v>5.3541133852386125E-2</v>
      </c>
    </row>
    <row r="53" spans="1:15" ht="15.6" customHeight="1" x14ac:dyDescent="0.3">
      <c r="A53" s="1">
        <v>3</v>
      </c>
      <c r="B53" s="1">
        <v>200</v>
      </c>
      <c r="C53" s="1">
        <v>1000</v>
      </c>
      <c r="D53" s="2">
        <v>0.06</v>
      </c>
      <c r="E53" s="1">
        <v>10</v>
      </c>
      <c r="F53" s="2">
        <v>0</v>
      </c>
      <c r="G53" s="2">
        <v>110.17</v>
      </c>
      <c r="H53" s="2">
        <v>21.71</v>
      </c>
      <c r="J53" s="4">
        <f t="shared" si="12"/>
        <v>0.68653048002255523</v>
      </c>
      <c r="K53" s="5">
        <f t="shared" si="13"/>
        <v>7.3608790095148748</v>
      </c>
      <c r="L53" s="5">
        <f t="shared" si="14"/>
        <v>7.3081562598168883</v>
      </c>
      <c r="M53" s="5">
        <f t="shared" si="15"/>
        <v>7.4142496798271154</v>
      </c>
      <c r="N53" s="5">
        <f t="shared" si="16"/>
        <v>5.2722749697986515E-2</v>
      </c>
      <c r="O53" s="5">
        <f t="shared" si="17"/>
        <v>5.337067031224052E-2</v>
      </c>
    </row>
    <row r="54" spans="1:15" ht="15.6" customHeight="1" x14ac:dyDescent="0.3">
      <c r="A54" s="1">
        <v>3</v>
      </c>
      <c r="B54" s="1">
        <v>200</v>
      </c>
      <c r="C54" s="1">
        <v>1000</v>
      </c>
      <c r="D54" s="2">
        <v>7.0000000000000007E-2</v>
      </c>
      <c r="E54" s="1">
        <v>10</v>
      </c>
      <c r="F54" s="2">
        <v>0</v>
      </c>
      <c r="G54" s="2">
        <v>104.58</v>
      </c>
      <c r="H54" s="2">
        <v>21.32</v>
      </c>
      <c r="J54" s="4">
        <f t="shared" si="12"/>
        <v>0.67419759714789851</v>
      </c>
      <c r="K54" s="5">
        <f t="shared" si="13"/>
        <v>7.5870261289000682</v>
      </c>
      <c r="L54" s="5">
        <f t="shared" si="14"/>
        <v>7.5324943701674467</v>
      </c>
      <c r="M54" s="5">
        <f t="shared" si="15"/>
        <v>7.6422513266133283</v>
      </c>
      <c r="N54" s="5">
        <f t="shared" si="16"/>
        <v>5.4531758732621505E-2</v>
      </c>
      <c r="O54" s="5">
        <f t="shared" si="17"/>
        <v>5.5225197713260066E-2</v>
      </c>
    </row>
    <row r="55" spans="1:15" ht="15.6" customHeight="1" x14ac:dyDescent="0.3">
      <c r="A55" s="1">
        <v>3</v>
      </c>
      <c r="B55" s="1">
        <v>200</v>
      </c>
      <c r="C55" s="1">
        <v>1000</v>
      </c>
      <c r="D55" s="2">
        <v>0.08</v>
      </c>
      <c r="E55" s="1">
        <v>10</v>
      </c>
      <c r="F55" s="2">
        <v>0</v>
      </c>
      <c r="G55" s="2">
        <v>100.41</v>
      </c>
      <c r="H55" s="2">
        <v>18.41</v>
      </c>
      <c r="J55" s="4">
        <f t="shared" si="12"/>
        <v>0.58217531723699867</v>
      </c>
      <c r="K55" s="5">
        <f t="shared" si="13"/>
        <v>7.7637428330620404</v>
      </c>
      <c r="L55" s="5">
        <f t="shared" si="14"/>
        <v>7.7146677392147112</v>
      </c>
      <c r="M55" s="5">
        <f t="shared" si="15"/>
        <v>7.8133788174827545</v>
      </c>
      <c r="N55" s="5">
        <f t="shared" si="16"/>
        <v>4.9075093847329221E-2</v>
      </c>
      <c r="O55" s="5">
        <f t="shared" si="17"/>
        <v>4.9635984420714152E-2</v>
      </c>
    </row>
    <row r="56" spans="1:15" ht="15.6" customHeight="1" x14ac:dyDescent="0.3">
      <c r="A56" s="1">
        <v>3</v>
      </c>
      <c r="B56" s="1">
        <v>200</v>
      </c>
      <c r="C56" s="1">
        <v>1000</v>
      </c>
      <c r="D56" s="2">
        <v>0.09</v>
      </c>
      <c r="E56" s="1">
        <v>10</v>
      </c>
      <c r="F56" s="2">
        <v>0</v>
      </c>
      <c r="G56" s="2">
        <v>99.1</v>
      </c>
      <c r="H56" s="2">
        <v>18.75</v>
      </c>
      <c r="J56" s="4">
        <f t="shared" si="12"/>
        <v>0.59292706128157113</v>
      </c>
      <c r="K56" s="5">
        <f t="shared" si="13"/>
        <v>7.8207759589836829</v>
      </c>
      <c r="L56" s="5">
        <f t="shared" si="14"/>
        <v>7.7701429322612725</v>
      </c>
      <c r="M56" s="5">
        <f t="shared" si="15"/>
        <v>7.8720062706303215</v>
      </c>
      <c r="N56" s="5">
        <f t="shared" si="16"/>
        <v>5.0633026722410435E-2</v>
      </c>
      <c r="O56" s="5">
        <f t="shared" si="17"/>
        <v>5.1230311646638604E-2</v>
      </c>
    </row>
    <row r="57" spans="1:15" ht="15.6" customHeight="1" x14ac:dyDescent="0.3">
      <c r="A57" s="1">
        <v>3</v>
      </c>
      <c r="B57" s="1">
        <v>200</v>
      </c>
      <c r="C57" s="1">
        <v>1000</v>
      </c>
      <c r="D57" s="2">
        <v>0.1</v>
      </c>
      <c r="E57" s="1">
        <v>10</v>
      </c>
      <c r="F57" s="2">
        <v>0</v>
      </c>
      <c r="G57" s="2">
        <v>97.12</v>
      </c>
      <c r="H57" s="2">
        <v>16.89</v>
      </c>
      <c r="J57" s="4">
        <f t="shared" si="12"/>
        <v>0.53410869680243933</v>
      </c>
      <c r="K57" s="5">
        <f t="shared" si="13"/>
        <v>7.9084257665246129</v>
      </c>
      <c r="L57" s="5">
        <f t="shared" si="14"/>
        <v>7.8618638143020476</v>
      </c>
      <c r="M57" s="5">
        <f t="shared" si="15"/>
        <v>7.9554923377910765</v>
      </c>
      <c r="N57" s="5">
        <f t="shared" si="16"/>
        <v>4.6561952222565317E-2</v>
      </c>
      <c r="O57" s="5">
        <f t="shared" si="17"/>
        <v>4.7066571266463519E-2</v>
      </c>
    </row>
    <row r="58" spans="1:15" ht="15.6" customHeight="1" x14ac:dyDescent="0.3">
      <c r="A58" s="1">
        <v>3</v>
      </c>
      <c r="B58" s="1">
        <v>200</v>
      </c>
      <c r="C58" s="1">
        <v>1000</v>
      </c>
      <c r="D58" s="2">
        <v>0.11</v>
      </c>
      <c r="E58" s="1">
        <v>10</v>
      </c>
      <c r="F58" s="2">
        <v>0</v>
      </c>
      <c r="G58" s="2">
        <v>100.42</v>
      </c>
      <c r="H58" s="2">
        <v>15.43</v>
      </c>
      <c r="J58" s="4">
        <f t="shared" si="12"/>
        <v>0.48793944296398095</v>
      </c>
      <c r="K58" s="5">
        <f t="shared" si="13"/>
        <v>7.7633103334531555</v>
      </c>
      <c r="L58" s="5">
        <f t="shared" si="14"/>
        <v>7.7221455130574759</v>
      </c>
      <c r="M58" s="5">
        <f t="shared" si="15"/>
        <v>7.8048690734285531</v>
      </c>
      <c r="N58" s="5">
        <f t="shared" si="16"/>
        <v>4.1164820395679591E-2</v>
      </c>
      <c r="O58" s="5">
        <f t="shared" si="17"/>
        <v>4.1558739975397607E-2</v>
      </c>
    </row>
    <row r="59" spans="1:15" ht="15.6" customHeight="1" x14ac:dyDescent="0.3">
      <c r="A59" s="1">
        <v>3</v>
      </c>
      <c r="B59" s="1">
        <v>200</v>
      </c>
      <c r="C59" s="1">
        <v>1000</v>
      </c>
      <c r="D59" s="2">
        <v>0.12</v>
      </c>
      <c r="E59" s="1">
        <v>10</v>
      </c>
      <c r="F59" s="2">
        <v>0</v>
      </c>
      <c r="G59" s="2">
        <v>106.2</v>
      </c>
      <c r="H59" s="2">
        <v>15.67</v>
      </c>
      <c r="J59" s="4">
        <f t="shared" si="12"/>
        <v>0.49552890934838506</v>
      </c>
      <c r="K59" s="5">
        <f t="shared" si="13"/>
        <v>7.5202673363819326</v>
      </c>
      <c r="L59" s="5">
        <f t="shared" si="14"/>
        <v>7.4807300826379084</v>
      </c>
      <c r="M59" s="5">
        <f t="shared" si="15"/>
        <v>7.560167838413637</v>
      </c>
      <c r="N59" s="5">
        <f t="shared" si="16"/>
        <v>3.953725374402417E-2</v>
      </c>
      <c r="O59" s="5">
        <f t="shared" si="17"/>
        <v>3.9900502031704477E-2</v>
      </c>
    </row>
    <row r="60" spans="1:15" ht="15.6" customHeight="1" x14ac:dyDescent="0.3">
      <c r="A60" s="1">
        <v>3</v>
      </c>
      <c r="B60" s="1">
        <v>200</v>
      </c>
      <c r="C60" s="1">
        <v>1000</v>
      </c>
      <c r="D60" s="2">
        <v>0.13</v>
      </c>
      <c r="E60" s="1">
        <v>10</v>
      </c>
      <c r="F60" s="2">
        <v>0</v>
      </c>
      <c r="G60" s="2">
        <v>117.96</v>
      </c>
      <c r="H60" s="2">
        <v>17.8</v>
      </c>
      <c r="J60" s="4">
        <f t="shared" si="12"/>
        <v>0.56288542350997151</v>
      </c>
      <c r="K60" s="5">
        <f t="shared" si="13"/>
        <v>7.0641648650388325</v>
      </c>
      <c r="L60" s="5">
        <f t="shared" si="14"/>
        <v>7.0237349751654587</v>
      </c>
      <c r="M60" s="5">
        <f t="shared" si="15"/>
        <v>7.1049746694621527</v>
      </c>
      <c r="N60" s="5">
        <f t="shared" si="16"/>
        <v>4.0429889873373703E-2</v>
      </c>
      <c r="O60" s="5">
        <f t="shared" si="17"/>
        <v>4.0809804423320273E-2</v>
      </c>
    </row>
    <row r="61" spans="1:15" ht="15.6" customHeight="1" x14ac:dyDescent="0.3">
      <c r="A61" s="1">
        <v>3</v>
      </c>
      <c r="B61" s="1">
        <v>200</v>
      </c>
      <c r="C61" s="1">
        <v>1000</v>
      </c>
      <c r="D61" s="2">
        <v>0.14000000000000001</v>
      </c>
      <c r="E61" s="1">
        <v>10</v>
      </c>
      <c r="F61" s="2">
        <v>0</v>
      </c>
      <c r="G61" s="2">
        <v>141.78</v>
      </c>
      <c r="H61" s="2">
        <v>25.71</v>
      </c>
      <c r="J61" s="4">
        <f t="shared" si="12"/>
        <v>0.81302158642929034</v>
      </c>
      <c r="K61" s="5">
        <f t="shared" si="13"/>
        <v>6.2653627836763093</v>
      </c>
      <c r="L61" s="5">
        <f t="shared" si="14"/>
        <v>6.2168229554183521</v>
      </c>
      <c r="M61" s="5">
        <f t="shared" si="15"/>
        <v>6.3144512653605283</v>
      </c>
      <c r="N61" s="5">
        <f t="shared" si="16"/>
        <v>4.8539828257957218E-2</v>
      </c>
      <c r="O61" s="5">
        <f t="shared" si="17"/>
        <v>4.9088481684218976E-2</v>
      </c>
    </row>
    <row r="62" spans="1:15" ht="15.6" customHeight="1" x14ac:dyDescent="0.3">
      <c r="A62" s="1">
        <v>3</v>
      </c>
      <c r="B62" s="1">
        <v>200</v>
      </c>
      <c r="C62" s="1">
        <v>1000</v>
      </c>
      <c r="D62" s="2">
        <v>0.15</v>
      </c>
      <c r="E62" s="1">
        <v>10</v>
      </c>
      <c r="F62" s="2">
        <v>0</v>
      </c>
      <c r="G62" s="2">
        <v>178.56</v>
      </c>
      <c r="H62" s="2">
        <v>38.979999999999997</v>
      </c>
      <c r="J62" s="4">
        <f t="shared" si="12"/>
        <v>1.2326558319336343</v>
      </c>
      <c r="K62" s="5">
        <f t="shared" si="13"/>
        <v>5.2636707312615885</v>
      </c>
      <c r="L62" s="5">
        <f t="shared" si="14"/>
        <v>5.205302523093259</v>
      </c>
      <c r="M62" s="5">
        <f t="shared" si="15"/>
        <v>5.322834093939254</v>
      </c>
      <c r="N62" s="5">
        <f t="shared" si="16"/>
        <v>5.8368208168329438E-2</v>
      </c>
      <c r="O62" s="5">
        <f t="shared" si="17"/>
        <v>5.9163362677665532E-2</v>
      </c>
    </row>
    <row r="63" spans="1:15" ht="15.6" customHeight="1" x14ac:dyDescent="0.3">
      <c r="A63" s="1">
        <v>3</v>
      </c>
      <c r="B63" s="1">
        <v>200</v>
      </c>
      <c r="C63" s="1">
        <v>1000</v>
      </c>
      <c r="D63" s="2">
        <v>0.16</v>
      </c>
      <c r="E63" s="1">
        <v>10</v>
      </c>
      <c r="F63" s="2">
        <v>0</v>
      </c>
      <c r="G63" s="2">
        <v>228.43</v>
      </c>
      <c r="H63" s="2">
        <v>50.93</v>
      </c>
      <c r="J63" s="4">
        <f t="shared" si="12"/>
        <v>1.6105480123237557</v>
      </c>
      <c r="K63" s="5">
        <f t="shared" si="13"/>
        <v>4.19398110622123</v>
      </c>
      <c r="L63" s="5">
        <f t="shared" si="14"/>
        <v>4.1343768466130344</v>
      </c>
      <c r="M63" s="5">
        <f t="shared" si="15"/>
        <v>4.2544147944125621</v>
      </c>
      <c r="N63" s="5">
        <f t="shared" si="16"/>
        <v>5.9604259608195598E-2</v>
      </c>
      <c r="O63" s="5">
        <f t="shared" si="17"/>
        <v>6.0433688191332102E-2</v>
      </c>
    </row>
    <row r="64" spans="1:15" ht="15.6" customHeight="1" x14ac:dyDescent="0.3">
      <c r="A64" s="1">
        <v>3</v>
      </c>
      <c r="B64" s="1">
        <v>200</v>
      </c>
      <c r="C64" s="1">
        <v>1000</v>
      </c>
      <c r="D64" s="2">
        <v>0.17</v>
      </c>
      <c r="E64" s="1">
        <v>10</v>
      </c>
      <c r="F64" s="2">
        <v>0</v>
      </c>
      <c r="G64" s="2">
        <v>268.97000000000003</v>
      </c>
      <c r="H64" s="2">
        <v>44.94</v>
      </c>
      <c r="J64" s="4">
        <f t="shared" si="12"/>
        <v>1.4211275804796697</v>
      </c>
      <c r="K64" s="5">
        <f t="shared" si="13"/>
        <v>3.4844740741107221</v>
      </c>
      <c r="L64" s="5">
        <f t="shared" si="14"/>
        <v>3.4397305168295311</v>
      </c>
      <c r="M64" s="5">
        <f t="shared" si="15"/>
        <v>3.5296834085565991</v>
      </c>
      <c r="N64" s="5">
        <f t="shared" si="16"/>
        <v>4.4743557281190949E-2</v>
      </c>
      <c r="O64" s="5">
        <f t="shared" si="17"/>
        <v>4.5209334445877047E-2</v>
      </c>
    </row>
    <row r="65" spans="1:15" ht="15.6" customHeight="1" x14ac:dyDescent="0.3">
      <c r="A65" s="1">
        <v>3</v>
      </c>
      <c r="B65" s="1">
        <v>200</v>
      </c>
      <c r="C65" s="1">
        <v>1000</v>
      </c>
      <c r="D65" s="2">
        <v>0.18</v>
      </c>
      <c r="E65" s="1">
        <v>10</v>
      </c>
      <c r="F65" s="2">
        <v>0</v>
      </c>
      <c r="G65" s="2">
        <v>296.51</v>
      </c>
      <c r="H65" s="2">
        <v>31.82</v>
      </c>
      <c r="J65" s="4">
        <f t="shared" si="12"/>
        <v>1.0062367514655783</v>
      </c>
      <c r="K65" s="5">
        <f t="shared" si="13"/>
        <v>3.0611190556166297</v>
      </c>
      <c r="L65" s="5">
        <f t="shared" si="14"/>
        <v>3.0323277834977995</v>
      </c>
      <c r="M65" s="5">
        <f t="shared" si="15"/>
        <v>3.0901024721312971</v>
      </c>
      <c r="N65" s="5">
        <f t="shared" si="16"/>
        <v>2.8791272118830147E-2</v>
      </c>
      <c r="O65" s="5">
        <f t="shared" si="17"/>
        <v>2.8983416514667404E-2</v>
      </c>
    </row>
    <row r="66" spans="1:15" ht="15.6" customHeight="1" x14ac:dyDescent="0.3">
      <c r="A66" s="1">
        <v>3</v>
      </c>
      <c r="B66" s="1">
        <v>200</v>
      </c>
      <c r="C66" s="1">
        <v>1000</v>
      </c>
      <c r="D66" s="2">
        <v>0.19</v>
      </c>
      <c r="E66" s="1">
        <v>10</v>
      </c>
      <c r="F66" s="2">
        <v>0</v>
      </c>
      <c r="G66" s="2">
        <v>312.33999999999997</v>
      </c>
      <c r="H66" s="2">
        <v>16.260000000000002</v>
      </c>
      <c r="J66" s="4">
        <f t="shared" si="12"/>
        <v>0.51418634754337855</v>
      </c>
      <c r="K66" s="5">
        <f t="shared" si="13"/>
        <v>2.835236444215679</v>
      </c>
      <c r="L66" s="5">
        <f t="shared" si="14"/>
        <v>2.8212459323366175</v>
      </c>
      <c r="M66" s="5">
        <f t="shared" si="15"/>
        <v>2.849272171308189</v>
      </c>
      <c r="N66" s="5">
        <f t="shared" si="16"/>
        <v>1.3990511879061529E-2</v>
      </c>
      <c r="O66" s="5">
        <f t="shared" si="17"/>
        <v>1.4035727092509998E-2</v>
      </c>
    </row>
    <row r="67" spans="1:15" ht="15.6" customHeight="1" x14ac:dyDescent="0.3">
      <c r="A67" s="1">
        <v>3</v>
      </c>
      <c r="B67" s="1">
        <v>200</v>
      </c>
      <c r="C67" s="1">
        <v>1000</v>
      </c>
      <c r="D67" s="2">
        <v>0.2</v>
      </c>
      <c r="E67" s="1">
        <v>10</v>
      </c>
      <c r="F67" s="2">
        <v>0</v>
      </c>
      <c r="G67" s="2">
        <v>318.56</v>
      </c>
      <c r="H67" s="2">
        <v>11.14</v>
      </c>
      <c r="J67" s="4">
        <f t="shared" si="12"/>
        <v>0.35227773134275747</v>
      </c>
      <c r="K67" s="5">
        <f t="shared" si="13"/>
        <v>2.7496000770030928</v>
      </c>
      <c r="L67" s="5">
        <f t="shared" si="14"/>
        <v>2.7401971276146737</v>
      </c>
      <c r="M67" s="5">
        <f t="shared" si="15"/>
        <v>2.7590234289847135</v>
      </c>
      <c r="N67" s="5">
        <f t="shared" si="16"/>
        <v>9.402949388419124E-3</v>
      </c>
      <c r="O67" s="5">
        <f t="shared" si="17"/>
        <v>9.4233519816206979E-3</v>
      </c>
    </row>
    <row r="68" spans="1:15" ht="15.6" customHeight="1" x14ac:dyDescent="0.3">
      <c r="A68" s="13" t="s">
        <v>17</v>
      </c>
      <c r="B68" s="7"/>
      <c r="C68" s="7"/>
      <c r="D68" s="8"/>
      <c r="E68" s="7"/>
      <c r="F68" s="8"/>
      <c r="G68" s="8"/>
      <c r="H68" s="8"/>
      <c r="I68" s="8"/>
      <c r="J68" s="9"/>
      <c r="K68" s="10"/>
      <c r="L68" s="10"/>
      <c r="M68" s="10"/>
      <c r="N68" s="10"/>
      <c r="O68" s="10"/>
    </row>
    <row r="69" spans="1:15" ht="15.6" customHeight="1" x14ac:dyDescent="0.3">
      <c r="A69" s="1">
        <v>4</v>
      </c>
      <c r="B69" s="1">
        <v>200</v>
      </c>
      <c r="C69" s="1">
        <v>1000</v>
      </c>
      <c r="D69" s="2">
        <v>0</v>
      </c>
      <c r="E69" s="1">
        <v>10</v>
      </c>
      <c r="F69" s="2">
        <v>0</v>
      </c>
      <c r="G69" s="2">
        <v>149.57</v>
      </c>
      <c r="H69" s="2">
        <v>38.89</v>
      </c>
      <c r="J69" s="4">
        <f t="shared" ref="J69:J89" si="18">H69/SQRT(C69)</f>
        <v>1.2298097820394829</v>
      </c>
      <c r="K69" s="5">
        <f t="shared" ref="K69:K89" si="19">-10*LOG10(G69/(B69*3))</f>
        <v>6.033067567281881</v>
      </c>
      <c r="L69" s="5">
        <f t="shared" ref="L69:L89" si="20">-10*LOG10((G69+1.96*J69)/(B69*3))</f>
        <v>5.9636358953220503</v>
      </c>
      <c r="M69" s="5">
        <f t="shared" ref="M69:M89" si="21">-10*LOG10((G69-1.96*J69)/(B69*3))</f>
        <v>6.1036273188681296</v>
      </c>
      <c r="N69" s="5">
        <f t="shared" ref="N69:N89" si="22">K69-L69</f>
        <v>6.9431671959830688E-2</v>
      </c>
      <c r="O69" s="5">
        <f t="shared" ref="O69:O89" si="23">M69-K69</f>
        <v>7.0559751586248609E-2</v>
      </c>
    </row>
    <row r="70" spans="1:15" ht="15.6" customHeight="1" x14ac:dyDescent="0.3">
      <c r="A70" s="3">
        <v>4</v>
      </c>
      <c r="B70" s="3">
        <v>200</v>
      </c>
      <c r="C70" s="3">
        <v>1000</v>
      </c>
      <c r="D70" s="4">
        <v>0.01</v>
      </c>
      <c r="E70" s="3">
        <v>10</v>
      </c>
      <c r="F70" s="4">
        <v>0</v>
      </c>
      <c r="G70" s="4">
        <v>145.06</v>
      </c>
      <c r="H70" s="4">
        <v>34.200000000000003</v>
      </c>
      <c r="I70" s="4"/>
      <c r="J70" s="4">
        <f t="shared" si="18"/>
        <v>1.0814989597775859</v>
      </c>
      <c r="K70" s="5">
        <f t="shared" si="19"/>
        <v>6.1660357725791615</v>
      </c>
      <c r="L70" s="5">
        <f t="shared" si="20"/>
        <v>6.1030322501091137</v>
      </c>
      <c r="M70" s="5">
        <f t="shared" si="21"/>
        <v>6.2299667646685011</v>
      </c>
      <c r="N70" s="5">
        <f t="shared" si="22"/>
        <v>6.3003522470047812E-2</v>
      </c>
      <c r="O70" s="5">
        <f t="shared" si="23"/>
        <v>6.3930992089339611E-2</v>
      </c>
    </row>
    <row r="71" spans="1:15" ht="15.6" customHeight="1" x14ac:dyDescent="0.3">
      <c r="A71" s="3">
        <v>4</v>
      </c>
      <c r="B71" s="3">
        <v>200</v>
      </c>
      <c r="C71" s="3">
        <v>1000</v>
      </c>
      <c r="D71" s="4">
        <v>0.02</v>
      </c>
      <c r="E71" s="3">
        <v>10</v>
      </c>
      <c r="F71" s="4">
        <v>0</v>
      </c>
      <c r="G71" s="4">
        <v>140.41999999999999</v>
      </c>
      <c r="H71" s="4">
        <v>37.409999999999997</v>
      </c>
      <c r="I71" s="4"/>
      <c r="J71" s="4">
        <f t="shared" si="18"/>
        <v>1.1830080726689907</v>
      </c>
      <c r="K71" s="5">
        <f t="shared" si="19"/>
        <v>6.3072228168498761</v>
      </c>
      <c r="L71" s="5">
        <f t="shared" si="20"/>
        <v>6.2360952601449977</v>
      </c>
      <c r="M71" s="5">
        <f t="shared" si="21"/>
        <v>6.3795347046940689</v>
      </c>
      <c r="N71" s="5">
        <f t="shared" si="22"/>
        <v>7.1127556704878359E-2</v>
      </c>
      <c r="O71" s="5">
        <f t="shared" si="23"/>
        <v>7.2311887844192846E-2</v>
      </c>
    </row>
    <row r="72" spans="1:15" ht="15.6" customHeight="1" x14ac:dyDescent="0.3">
      <c r="A72" s="3">
        <v>4</v>
      </c>
      <c r="B72" s="3">
        <v>200</v>
      </c>
      <c r="C72" s="3">
        <v>1000</v>
      </c>
      <c r="D72" s="4">
        <v>0.03</v>
      </c>
      <c r="E72" s="3">
        <v>10</v>
      </c>
      <c r="F72" s="4">
        <v>0</v>
      </c>
      <c r="G72" s="4">
        <v>131.62</v>
      </c>
      <c r="H72" s="4">
        <v>37.229999999999997</v>
      </c>
      <c r="I72" s="4"/>
      <c r="J72" s="4">
        <f t="shared" si="18"/>
        <v>1.1773159728806875</v>
      </c>
      <c r="K72" s="5">
        <f t="shared" si="19"/>
        <v>6.5882936391966656</v>
      </c>
      <c r="L72" s="5">
        <f t="shared" si="20"/>
        <v>6.5128136090532269</v>
      </c>
      <c r="M72" s="5">
        <f t="shared" si="21"/>
        <v>6.6651087438542564</v>
      </c>
      <c r="N72" s="5">
        <f t="shared" si="22"/>
        <v>7.5480030143438626E-2</v>
      </c>
      <c r="O72" s="5">
        <f t="shared" si="23"/>
        <v>7.6815104657590894E-2</v>
      </c>
    </row>
    <row r="73" spans="1:15" ht="15.6" customHeight="1" x14ac:dyDescent="0.3">
      <c r="A73" s="3">
        <v>4</v>
      </c>
      <c r="B73" s="3">
        <v>200</v>
      </c>
      <c r="C73" s="3">
        <v>1000</v>
      </c>
      <c r="D73" s="4">
        <v>0.04</v>
      </c>
      <c r="E73" s="3">
        <v>10</v>
      </c>
      <c r="F73" s="4">
        <v>0</v>
      </c>
      <c r="G73" s="4">
        <v>121.3</v>
      </c>
      <c r="H73" s="4">
        <v>34.36</v>
      </c>
      <c r="I73" s="4"/>
      <c r="J73" s="4">
        <f t="shared" si="18"/>
        <v>1.0865586040338551</v>
      </c>
      <c r="K73" s="5">
        <f t="shared" si="19"/>
        <v>6.9429044951707066</v>
      </c>
      <c r="L73" s="5">
        <f t="shared" si="20"/>
        <v>6.8673173577148807</v>
      </c>
      <c r="M73" s="5">
        <f t="shared" si="21"/>
        <v>7.0198305325165125</v>
      </c>
      <c r="N73" s="5">
        <f t="shared" si="22"/>
        <v>7.5587137455825903E-2</v>
      </c>
      <c r="O73" s="5">
        <f t="shared" si="23"/>
        <v>7.6926037345805831E-2</v>
      </c>
    </row>
    <row r="74" spans="1:15" ht="15.6" customHeight="1" x14ac:dyDescent="0.3">
      <c r="A74" s="3">
        <v>4</v>
      </c>
      <c r="B74" s="3">
        <v>200</v>
      </c>
      <c r="C74" s="3">
        <v>1000</v>
      </c>
      <c r="D74" s="4">
        <v>0.05</v>
      </c>
      <c r="E74" s="3">
        <v>10</v>
      </c>
      <c r="F74" s="4">
        <v>0</v>
      </c>
      <c r="G74" s="4">
        <v>112.03</v>
      </c>
      <c r="H74" s="4">
        <v>37.49</v>
      </c>
      <c r="I74" s="4"/>
      <c r="J74" s="4">
        <f t="shared" si="18"/>
        <v>1.1855378947971256</v>
      </c>
      <c r="K74" s="5">
        <f t="shared" si="19"/>
        <v>7.2881691441135992</v>
      </c>
      <c r="L74" s="5">
        <f t="shared" si="20"/>
        <v>7.1990120294861608</v>
      </c>
      <c r="M74" s="5">
        <f t="shared" si="21"/>
        <v>7.3791950125774903</v>
      </c>
      <c r="N74" s="5">
        <f t="shared" si="22"/>
        <v>8.9157114627438361E-2</v>
      </c>
      <c r="O74" s="5">
        <f t="shared" si="23"/>
        <v>9.1025868463891157E-2</v>
      </c>
    </row>
    <row r="75" spans="1:15" ht="15.6" customHeight="1" x14ac:dyDescent="0.3">
      <c r="A75" s="3">
        <v>4</v>
      </c>
      <c r="B75" s="3">
        <v>200</v>
      </c>
      <c r="C75" s="3">
        <v>1000</v>
      </c>
      <c r="D75" s="4">
        <v>0.06</v>
      </c>
      <c r="E75" s="3">
        <v>10</v>
      </c>
      <c r="F75" s="4">
        <v>0</v>
      </c>
      <c r="G75" s="4">
        <v>101.84</v>
      </c>
      <c r="H75" s="4">
        <v>36.4</v>
      </c>
      <c r="I75" s="4"/>
      <c r="J75" s="4">
        <f t="shared" si="18"/>
        <v>1.1510690683012901</v>
      </c>
      <c r="K75" s="5">
        <f t="shared" si="19"/>
        <v>7.7023285973804452</v>
      </c>
      <c r="L75" s="5">
        <f t="shared" si="20"/>
        <v>7.6071681087680885</v>
      </c>
      <c r="M75" s="5">
        <f t="shared" si="21"/>
        <v>7.7996209968002672</v>
      </c>
      <c r="N75" s="5">
        <f t="shared" si="22"/>
        <v>9.5160488612356708E-2</v>
      </c>
      <c r="O75" s="5">
        <f t="shared" si="23"/>
        <v>9.729239941982204E-2</v>
      </c>
    </row>
    <row r="76" spans="1:15" ht="15.6" customHeight="1" x14ac:dyDescent="0.3">
      <c r="A76" s="3">
        <v>4</v>
      </c>
      <c r="B76" s="3">
        <v>200</v>
      </c>
      <c r="C76" s="3">
        <v>1000</v>
      </c>
      <c r="D76" s="4">
        <v>7.0000000000000007E-2</v>
      </c>
      <c r="E76" s="3">
        <v>10</v>
      </c>
      <c r="F76" s="4">
        <v>0</v>
      </c>
      <c r="G76" s="4">
        <v>90.77</v>
      </c>
      <c r="H76" s="4">
        <v>32.15</v>
      </c>
      <c r="I76" s="4"/>
      <c r="J76" s="4">
        <f t="shared" si="18"/>
        <v>1.016672267744134</v>
      </c>
      <c r="K76" s="5">
        <f t="shared" si="19"/>
        <v>8.2020891493823918</v>
      </c>
      <c r="L76" s="5">
        <f t="shared" si="20"/>
        <v>8.1077797409203676</v>
      </c>
      <c r="M76" s="5">
        <f t="shared" si="21"/>
        <v>8.2984920840896965</v>
      </c>
      <c r="N76" s="5">
        <f t="shared" si="22"/>
        <v>9.430940846202418E-2</v>
      </c>
      <c r="O76" s="5">
        <f t="shared" si="23"/>
        <v>9.6402934707304766E-2</v>
      </c>
    </row>
    <row r="77" spans="1:15" ht="15.6" customHeight="1" x14ac:dyDescent="0.3">
      <c r="A77" s="3">
        <v>4</v>
      </c>
      <c r="B77" s="3">
        <v>200</v>
      </c>
      <c r="C77" s="3">
        <v>1000</v>
      </c>
      <c r="D77" s="4">
        <v>0.08</v>
      </c>
      <c r="E77" s="3">
        <v>10</v>
      </c>
      <c r="F77" s="4">
        <v>0</v>
      </c>
      <c r="G77" s="4">
        <v>82.83</v>
      </c>
      <c r="H77" s="4">
        <v>29.66</v>
      </c>
      <c r="I77" s="4"/>
      <c r="J77" s="4">
        <f t="shared" si="18"/>
        <v>0.9379315540059413</v>
      </c>
      <c r="K77" s="5">
        <f t="shared" si="19"/>
        <v>8.5996358902471801</v>
      </c>
      <c r="L77" s="5">
        <f t="shared" si="20"/>
        <v>8.5043017528231317</v>
      </c>
      <c r="M77" s="5">
        <f t="shared" si="21"/>
        <v>8.6971098140056498</v>
      </c>
      <c r="N77" s="5">
        <f t="shared" si="22"/>
        <v>9.5334137424048393E-2</v>
      </c>
      <c r="O77" s="5">
        <f t="shared" si="23"/>
        <v>9.7473923758469638E-2</v>
      </c>
    </row>
    <row r="78" spans="1:15" ht="15.6" customHeight="1" x14ac:dyDescent="0.3">
      <c r="A78" s="3">
        <v>4</v>
      </c>
      <c r="B78" s="3">
        <v>200</v>
      </c>
      <c r="C78" s="3">
        <v>1000</v>
      </c>
      <c r="D78" s="4">
        <v>0.09</v>
      </c>
      <c r="E78" s="3">
        <v>10</v>
      </c>
      <c r="F78" s="4">
        <v>0</v>
      </c>
      <c r="G78" s="4">
        <v>80.989999999999995</v>
      </c>
      <c r="H78" s="4">
        <v>33.299999999999997</v>
      </c>
      <c r="I78" s="4"/>
      <c r="J78" s="4">
        <f t="shared" si="18"/>
        <v>1.0530384608360703</v>
      </c>
      <c r="K78" s="5">
        <f t="shared" si="19"/>
        <v>8.6971985141763728</v>
      </c>
      <c r="L78" s="5">
        <f t="shared" si="20"/>
        <v>8.5879093015000247</v>
      </c>
      <c r="M78" s="5">
        <f t="shared" si="21"/>
        <v>8.8093091172571913</v>
      </c>
      <c r="N78" s="5">
        <f t="shared" si="22"/>
        <v>0.10928921267634806</v>
      </c>
      <c r="O78" s="5">
        <f t="shared" si="23"/>
        <v>0.11211060308081855</v>
      </c>
    </row>
    <row r="79" spans="1:15" ht="15.6" customHeight="1" x14ac:dyDescent="0.3">
      <c r="A79" s="3">
        <v>4</v>
      </c>
      <c r="B79" s="3">
        <v>200</v>
      </c>
      <c r="C79" s="3">
        <v>1000</v>
      </c>
      <c r="D79" s="4">
        <v>0.1</v>
      </c>
      <c r="E79" s="3">
        <v>10</v>
      </c>
      <c r="F79" s="4">
        <v>0</v>
      </c>
      <c r="G79" s="4">
        <v>83.42</v>
      </c>
      <c r="H79" s="4">
        <v>38.71</v>
      </c>
      <c r="I79" s="4"/>
      <c r="J79" s="4">
        <f t="shared" si="18"/>
        <v>1.2241176822511797</v>
      </c>
      <c r="K79" s="5">
        <f t="shared" si="19"/>
        <v>8.5688106487383102</v>
      </c>
      <c r="L79" s="5">
        <f t="shared" si="20"/>
        <v>8.4456643106200886</v>
      </c>
      <c r="M79" s="5">
        <f t="shared" si="21"/>
        <v>8.69555102030737</v>
      </c>
      <c r="N79" s="5">
        <f t="shared" si="22"/>
        <v>0.12314633811822162</v>
      </c>
      <c r="O79" s="5">
        <f t="shared" si="23"/>
        <v>0.12674037156905982</v>
      </c>
    </row>
    <row r="80" spans="1:15" ht="15.6" customHeight="1" x14ac:dyDescent="0.3">
      <c r="A80" s="3">
        <v>4</v>
      </c>
      <c r="B80" s="3">
        <v>200</v>
      </c>
      <c r="C80" s="3">
        <v>1000</v>
      </c>
      <c r="D80" s="4">
        <v>0.11</v>
      </c>
      <c r="E80" s="3">
        <v>10</v>
      </c>
      <c r="F80" s="3">
        <v>0</v>
      </c>
      <c r="G80" s="4">
        <v>84.23</v>
      </c>
      <c r="H80" s="4">
        <v>37.369999999999997</v>
      </c>
      <c r="I80" s="4"/>
      <c r="J80" s="4">
        <f t="shared" si="18"/>
        <v>1.1817431616049232</v>
      </c>
      <c r="K80" s="5">
        <f t="shared" si="19"/>
        <v>8.5268444969210577</v>
      </c>
      <c r="L80" s="5">
        <f t="shared" si="20"/>
        <v>8.4090316311816142</v>
      </c>
      <c r="M80" s="5">
        <f t="shared" si="21"/>
        <v>8.6479426495633245</v>
      </c>
      <c r="N80" s="5">
        <f t="shared" si="22"/>
        <v>0.1178128657394435</v>
      </c>
      <c r="O80" s="5">
        <f t="shared" si="23"/>
        <v>0.12109815264226675</v>
      </c>
    </row>
    <row r="81" spans="1:15" ht="15.6" customHeight="1" x14ac:dyDescent="0.3">
      <c r="A81" s="3">
        <v>4</v>
      </c>
      <c r="B81" s="3">
        <v>200</v>
      </c>
      <c r="C81" s="3">
        <v>1000</v>
      </c>
      <c r="D81" s="4">
        <v>0.12</v>
      </c>
      <c r="E81" s="3">
        <v>10</v>
      </c>
      <c r="F81" s="4">
        <v>0</v>
      </c>
      <c r="G81" s="4">
        <v>87.97</v>
      </c>
      <c r="H81" s="4">
        <v>36.46</v>
      </c>
      <c r="I81" s="4"/>
      <c r="J81" s="4">
        <f t="shared" si="18"/>
        <v>1.1529664348973911</v>
      </c>
      <c r="K81" s="5">
        <f t="shared" si="19"/>
        <v>8.338166584128615</v>
      </c>
      <c r="L81" s="5">
        <f t="shared" si="20"/>
        <v>8.2280118724864515</v>
      </c>
      <c r="M81" s="5">
        <f t="shared" si="21"/>
        <v>8.4511881389233938</v>
      </c>
      <c r="N81" s="5">
        <f t="shared" si="22"/>
        <v>0.11015471164216351</v>
      </c>
      <c r="O81" s="5">
        <f t="shared" si="23"/>
        <v>0.11302155479477882</v>
      </c>
    </row>
    <row r="82" spans="1:15" ht="15.6" customHeight="1" x14ac:dyDescent="0.3">
      <c r="A82" s="3">
        <v>4</v>
      </c>
      <c r="B82" s="3">
        <v>200</v>
      </c>
      <c r="C82" s="3">
        <v>1000</v>
      </c>
      <c r="D82" s="4">
        <v>0.13</v>
      </c>
      <c r="E82" s="3">
        <v>10</v>
      </c>
      <c r="F82" s="4">
        <v>0</v>
      </c>
      <c r="G82" s="4">
        <v>94.19</v>
      </c>
      <c r="H82" s="4">
        <v>36.99</v>
      </c>
      <c r="I82" s="4"/>
      <c r="J82" s="4">
        <f t="shared" si="18"/>
        <v>1.1697265064962836</v>
      </c>
      <c r="K82" s="5">
        <f t="shared" si="19"/>
        <v>8.0414645348622891</v>
      </c>
      <c r="L82" s="5">
        <f t="shared" si="20"/>
        <v>7.9370196425257831</v>
      </c>
      <c r="M82" s="5">
        <f t="shared" si="21"/>
        <v>8.1484832829830065</v>
      </c>
      <c r="N82" s="5">
        <f t="shared" si="22"/>
        <v>0.104444892336506</v>
      </c>
      <c r="O82" s="5">
        <f t="shared" si="23"/>
        <v>0.10701874812071743</v>
      </c>
    </row>
    <row r="83" spans="1:15" ht="15.6" customHeight="1" x14ac:dyDescent="0.3">
      <c r="A83" s="3">
        <v>4</v>
      </c>
      <c r="B83" s="3">
        <v>200</v>
      </c>
      <c r="C83" s="3">
        <v>1000</v>
      </c>
      <c r="D83" s="4">
        <v>0.14000000000000001</v>
      </c>
      <c r="E83" s="3">
        <v>10</v>
      </c>
      <c r="F83" s="4">
        <v>0</v>
      </c>
      <c r="G83" s="4">
        <v>109.39</v>
      </c>
      <c r="H83" s="4">
        <v>47.48</v>
      </c>
      <c r="I83" s="4"/>
      <c r="J83" s="4">
        <f t="shared" si="18"/>
        <v>1.5014494330479464</v>
      </c>
      <c r="K83" s="5">
        <f t="shared" si="19"/>
        <v>7.3917362805095177</v>
      </c>
      <c r="L83" s="5">
        <f t="shared" si="20"/>
        <v>7.2764450808736996</v>
      </c>
      <c r="M83" s="5">
        <f t="shared" si="21"/>
        <v>7.5101717501589533</v>
      </c>
      <c r="N83" s="5">
        <f t="shared" si="22"/>
        <v>0.11529119963581813</v>
      </c>
      <c r="O83" s="5">
        <f t="shared" si="23"/>
        <v>0.11843546964943563</v>
      </c>
    </row>
    <row r="84" spans="1:15" ht="15.6" customHeight="1" x14ac:dyDescent="0.3">
      <c r="A84" s="3">
        <v>4</v>
      </c>
      <c r="B84" s="3">
        <v>200</v>
      </c>
      <c r="C84" s="3">
        <v>1000</v>
      </c>
      <c r="D84" s="4">
        <v>0.15</v>
      </c>
      <c r="E84" s="3">
        <v>10</v>
      </c>
      <c r="F84" s="4">
        <v>0</v>
      </c>
      <c r="G84" s="4">
        <v>133.75</v>
      </c>
      <c r="H84" s="4">
        <v>44.84</v>
      </c>
      <c r="I84" s="4"/>
      <c r="J84" s="4">
        <f t="shared" si="18"/>
        <v>1.4179653028195014</v>
      </c>
      <c r="K84" s="5">
        <f t="shared" si="19"/>
        <v>6.5185745969037754</v>
      </c>
      <c r="L84" s="5">
        <f t="shared" si="20"/>
        <v>6.4292566677042711</v>
      </c>
      <c r="M84" s="5">
        <f t="shared" si="21"/>
        <v>6.6097680986003322</v>
      </c>
      <c r="N84" s="5">
        <f t="shared" si="22"/>
        <v>8.931792919950432E-2</v>
      </c>
      <c r="O84" s="5">
        <f t="shared" si="23"/>
        <v>9.1193501696556822E-2</v>
      </c>
    </row>
    <row r="85" spans="1:15" x14ac:dyDescent="0.3">
      <c r="A85" s="1">
        <v>4</v>
      </c>
      <c r="B85" s="1">
        <v>200</v>
      </c>
      <c r="C85" s="1">
        <v>1000</v>
      </c>
      <c r="D85" s="2">
        <v>0.16</v>
      </c>
      <c r="E85" s="1">
        <v>10</v>
      </c>
      <c r="F85" s="2">
        <v>0</v>
      </c>
      <c r="G85" s="2">
        <v>171.66</v>
      </c>
      <c r="H85" s="2">
        <v>57.4</v>
      </c>
      <c r="J85" s="4">
        <f t="shared" si="18"/>
        <v>1.8151473769366497</v>
      </c>
      <c r="K85" s="5">
        <f t="shared" si="19"/>
        <v>5.4348214219473734</v>
      </c>
      <c r="L85" s="5">
        <f t="shared" si="20"/>
        <v>5.345733027411848</v>
      </c>
      <c r="M85" s="5">
        <f t="shared" si="21"/>
        <v>5.525775660401151</v>
      </c>
      <c r="N85" s="5">
        <f t="shared" si="22"/>
        <v>8.9088394535525417E-2</v>
      </c>
      <c r="O85" s="5">
        <f t="shared" si="23"/>
        <v>9.0954238453777592E-2</v>
      </c>
    </row>
    <row r="86" spans="1:15" x14ac:dyDescent="0.3">
      <c r="A86" s="1">
        <v>4</v>
      </c>
      <c r="B86" s="1">
        <v>200</v>
      </c>
      <c r="C86" s="1">
        <v>1000</v>
      </c>
      <c r="D86" s="2">
        <v>0.17</v>
      </c>
      <c r="E86" s="1">
        <v>10</v>
      </c>
      <c r="F86" s="2">
        <v>0</v>
      </c>
      <c r="G86" s="2">
        <v>218.94</v>
      </c>
      <c r="H86" s="2">
        <v>65.680000000000007</v>
      </c>
      <c r="J86" s="4">
        <f t="shared" si="18"/>
        <v>2.0769839671985917</v>
      </c>
      <c r="K86" s="5">
        <f t="shared" si="19"/>
        <v>4.3782613663535166</v>
      </c>
      <c r="L86" s="5">
        <f t="shared" si="20"/>
        <v>4.2982518225521087</v>
      </c>
      <c r="M86" s="5">
        <f t="shared" si="21"/>
        <v>4.4597726254300571</v>
      </c>
      <c r="N86" s="5">
        <f t="shared" si="22"/>
        <v>8.0009543801407901E-2</v>
      </c>
      <c r="O86" s="5">
        <f t="shared" si="23"/>
        <v>8.1511259076540554E-2</v>
      </c>
    </row>
    <row r="87" spans="1:15" x14ac:dyDescent="0.3">
      <c r="A87" s="1">
        <v>4</v>
      </c>
      <c r="B87" s="1">
        <v>200</v>
      </c>
      <c r="C87" s="1">
        <v>1000</v>
      </c>
      <c r="D87" s="2">
        <v>0.18</v>
      </c>
      <c r="E87" s="1">
        <v>10</v>
      </c>
      <c r="F87" s="2">
        <v>0</v>
      </c>
      <c r="G87" s="2">
        <v>267.57</v>
      </c>
      <c r="H87" s="2">
        <v>63.79</v>
      </c>
      <c r="J87" s="4">
        <f t="shared" si="18"/>
        <v>2.0172169194214091</v>
      </c>
      <c r="K87" s="5">
        <f t="shared" si="19"/>
        <v>3.5071383173938098</v>
      </c>
      <c r="L87" s="5">
        <f t="shared" si="20"/>
        <v>3.4434343508888166</v>
      </c>
      <c r="M87" s="5">
        <f t="shared" si="21"/>
        <v>3.5717906461049473</v>
      </c>
      <c r="N87" s="5">
        <f t="shared" si="22"/>
        <v>6.3703966504993215E-2</v>
      </c>
      <c r="O87" s="5">
        <f t="shared" si="23"/>
        <v>6.4652328711137574E-2</v>
      </c>
    </row>
    <row r="88" spans="1:15" x14ac:dyDescent="0.3">
      <c r="A88" s="1">
        <v>4</v>
      </c>
      <c r="B88" s="1">
        <v>200</v>
      </c>
      <c r="C88" s="1">
        <v>1000</v>
      </c>
      <c r="D88" s="2">
        <v>0.19</v>
      </c>
      <c r="E88" s="1">
        <v>10</v>
      </c>
      <c r="F88" s="2">
        <v>0</v>
      </c>
      <c r="G88" s="2">
        <v>292.5</v>
      </c>
      <c r="H88" s="2">
        <v>50.14</v>
      </c>
      <c r="J88" s="4">
        <f t="shared" si="18"/>
        <v>1.5855660188084255</v>
      </c>
      <c r="K88" s="5">
        <f t="shared" si="19"/>
        <v>3.1202537996544439</v>
      </c>
      <c r="L88" s="5">
        <f t="shared" si="20"/>
        <v>3.0743549418975569</v>
      </c>
      <c r="M88" s="5">
        <f t="shared" si="21"/>
        <v>3.1666429303087344</v>
      </c>
      <c r="N88" s="5">
        <f t="shared" si="22"/>
        <v>4.5898857756887068E-2</v>
      </c>
      <c r="O88" s="5">
        <f t="shared" si="23"/>
        <v>4.6389130654290511E-2</v>
      </c>
    </row>
    <row r="89" spans="1:15" x14ac:dyDescent="0.3">
      <c r="A89" s="1">
        <v>4</v>
      </c>
      <c r="B89" s="1">
        <v>200</v>
      </c>
      <c r="C89" s="1">
        <v>1000</v>
      </c>
      <c r="D89" s="2">
        <v>0.2</v>
      </c>
      <c r="E89" s="1">
        <v>10</v>
      </c>
      <c r="F89" s="2">
        <v>0</v>
      </c>
      <c r="G89" s="2">
        <v>312.02</v>
      </c>
      <c r="H89" s="2">
        <v>43.05</v>
      </c>
      <c r="J89" s="4">
        <f t="shared" si="18"/>
        <v>1.3613605327024871</v>
      </c>
      <c r="K89" s="5">
        <f t="shared" si="19"/>
        <v>2.8396881786758525</v>
      </c>
      <c r="L89" s="5">
        <f t="shared" si="20"/>
        <v>2.8027070011967843</v>
      </c>
      <c r="M89" s="5">
        <f t="shared" si="21"/>
        <v>2.8769869658720086</v>
      </c>
      <c r="N89" s="5">
        <f t="shared" si="22"/>
        <v>3.6981177479068261E-2</v>
      </c>
      <c r="O89" s="5">
        <f t="shared" si="23"/>
        <v>3.7298787196156091E-2</v>
      </c>
    </row>
    <row r="107" spans="10:15" ht="18.75" customHeight="1" x14ac:dyDescent="0.3">
      <c r="J107" s="4"/>
      <c r="K107" s="5"/>
      <c r="L107" s="5"/>
      <c r="M107" s="5"/>
      <c r="N107" s="5"/>
      <c r="O107" s="5"/>
    </row>
  </sheetData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B408DE-D0CC-4B86-BEFC-CD848151543D}">
  <sheetPr codeName="Sheet4">
    <outlinePr summaryBelow="0"/>
  </sheetPr>
  <dimension ref="A1:O87"/>
  <sheetViews>
    <sheetView zoomScale="115" zoomScaleNormal="115" workbookViewId="0">
      <pane ySplit="1" topLeftCell="A2" activePane="bottomLeft" state="frozen"/>
      <selection activeCell="I20" sqref="I20"/>
      <selection pane="bottomLeft" activeCell="Q14" sqref="Q14"/>
    </sheetView>
  </sheetViews>
  <sheetFormatPr defaultRowHeight="14.4" x14ac:dyDescent="0.3"/>
  <cols>
    <col min="1" max="1" width="13.33203125" style="1" bestFit="1" customWidth="1"/>
    <col min="2" max="2" width="10.33203125" style="1" customWidth="1"/>
    <col min="3" max="3" width="10.77734375" style="1" customWidth="1"/>
    <col min="4" max="4" width="10.21875" style="2" customWidth="1"/>
    <col min="5" max="5" width="11.77734375" style="1" customWidth="1"/>
    <col min="6" max="6" width="9.44140625" style="2" customWidth="1"/>
    <col min="7" max="9" width="10" style="2" customWidth="1"/>
    <col min="10" max="10" width="9" style="2" customWidth="1"/>
    <col min="11" max="15" width="12.44140625" style="2" customWidth="1"/>
    <col min="16" max="16" width="12.44140625" customWidth="1"/>
  </cols>
  <sheetData>
    <row r="1" spans="1:15" s="6" customFormat="1" ht="15.6" customHeight="1" x14ac:dyDescent="0.3">
      <c r="A1" s="11" t="s">
        <v>14</v>
      </c>
      <c r="B1" s="11" t="s">
        <v>0</v>
      </c>
      <c r="C1" s="11" t="s">
        <v>1</v>
      </c>
      <c r="D1" s="12" t="s">
        <v>2</v>
      </c>
      <c r="E1" s="11" t="s">
        <v>3</v>
      </c>
      <c r="F1" s="12" t="s">
        <v>4</v>
      </c>
      <c r="G1" s="12" t="s">
        <v>5</v>
      </c>
      <c r="H1" s="12" t="s">
        <v>6</v>
      </c>
      <c r="I1" s="12"/>
      <c r="J1" s="12" t="s">
        <v>7</v>
      </c>
      <c r="K1" s="12" t="s">
        <v>8</v>
      </c>
      <c r="L1" s="12" t="s">
        <v>9</v>
      </c>
      <c r="M1" s="12" t="s">
        <v>10</v>
      </c>
      <c r="N1" s="12" t="s">
        <v>11</v>
      </c>
      <c r="O1" s="12" t="s">
        <v>12</v>
      </c>
    </row>
    <row r="2" spans="1:15" ht="15.6" customHeight="1" x14ac:dyDescent="0.3">
      <c r="A2" s="13" t="s">
        <v>13</v>
      </c>
      <c r="B2" s="7"/>
      <c r="C2" s="7"/>
      <c r="D2" s="8"/>
      <c r="E2" s="7"/>
      <c r="F2" s="8"/>
      <c r="G2" s="8"/>
      <c r="H2" s="8"/>
      <c r="I2" s="8"/>
      <c r="J2" s="9"/>
      <c r="K2" s="10"/>
      <c r="L2" s="10"/>
      <c r="M2" s="10"/>
      <c r="N2" s="10"/>
      <c r="O2" s="10"/>
    </row>
    <row r="3" spans="1:15" ht="15.6" customHeight="1" x14ac:dyDescent="0.3">
      <c r="A3" s="1">
        <v>1</v>
      </c>
      <c r="B3" s="1">
        <v>200</v>
      </c>
      <c r="C3" s="1">
        <v>1000</v>
      </c>
      <c r="D3" s="2">
        <v>0.1</v>
      </c>
      <c r="E3" s="1">
        <v>5</v>
      </c>
      <c r="F3" s="2">
        <v>0</v>
      </c>
      <c r="G3" s="2">
        <v>224.08</v>
      </c>
      <c r="H3" s="2">
        <v>51.23</v>
      </c>
      <c r="J3" s="4">
        <f t="shared" ref="J3:J18" si="0">H3/SQRT(C3)</f>
        <v>1.6200348453042606</v>
      </c>
      <c r="K3" s="5">
        <f t="shared" ref="K3:K18" si="1">-10*LOG10(G3/(B3*3))</f>
        <v>4.2774815456813187</v>
      </c>
      <c r="L3" s="5">
        <f t="shared" ref="L3:L18" si="2">-10*LOG10((G3+1.96*J3)/(B3*3))</f>
        <v>4.21637290433722</v>
      </c>
      <c r="M3" s="5">
        <f t="shared" ref="M3:M18" si="3">-10*LOG10((G3-1.96*J3)/(B3*3))</f>
        <v>4.3394623197448574</v>
      </c>
      <c r="N3" s="5">
        <f t="shared" ref="N3:N18" si="4">K3-L3</f>
        <v>6.1108641344098658E-2</v>
      </c>
      <c r="O3" s="5">
        <f t="shared" ref="O3:O18" si="5">M3-K3</f>
        <v>6.1980774063538746E-2</v>
      </c>
    </row>
    <row r="4" spans="1:15" ht="15.6" customHeight="1" x14ac:dyDescent="0.3">
      <c r="A4" s="3">
        <v>1</v>
      </c>
      <c r="B4" s="3">
        <v>200</v>
      </c>
      <c r="C4" s="3">
        <v>1000</v>
      </c>
      <c r="D4" s="4">
        <v>0.1</v>
      </c>
      <c r="E4" s="3">
        <v>6</v>
      </c>
      <c r="F4" s="4">
        <v>0</v>
      </c>
      <c r="G4" s="4">
        <v>185.78</v>
      </c>
      <c r="H4" s="4">
        <v>53.44</v>
      </c>
      <c r="I4" s="4"/>
      <c r="J4" s="4">
        <f t="shared" si="0"/>
        <v>1.6899211815939819</v>
      </c>
      <c r="K4" s="5">
        <f t="shared" si="1"/>
        <v>5.0915229184097015</v>
      </c>
      <c r="L4" s="5">
        <f t="shared" si="2"/>
        <v>5.0147753115624951</v>
      </c>
      <c r="M4" s="5">
        <f t="shared" si="3"/>
        <v>5.169651228895054</v>
      </c>
      <c r="N4" s="5">
        <f t="shared" si="4"/>
        <v>7.6747606847206384E-2</v>
      </c>
      <c r="O4" s="5">
        <f t="shared" si="5"/>
        <v>7.8128310485352515E-2</v>
      </c>
    </row>
    <row r="5" spans="1:15" ht="15.6" customHeight="1" x14ac:dyDescent="0.3">
      <c r="A5" s="3">
        <v>1</v>
      </c>
      <c r="B5" s="3">
        <v>200</v>
      </c>
      <c r="C5" s="3">
        <v>1000</v>
      </c>
      <c r="D5" s="4">
        <v>0.1</v>
      </c>
      <c r="E5" s="3">
        <v>7</v>
      </c>
      <c r="F5" s="4">
        <v>0</v>
      </c>
      <c r="G5" s="4">
        <v>163.12</v>
      </c>
      <c r="H5" s="4">
        <v>56.97</v>
      </c>
      <c r="I5" s="4"/>
      <c r="J5" s="4">
        <f t="shared" si="0"/>
        <v>1.8015495829979258</v>
      </c>
      <c r="K5" s="5">
        <f t="shared" si="1"/>
        <v>5.6564403761355999</v>
      </c>
      <c r="L5" s="5">
        <f t="shared" si="2"/>
        <v>5.5634322946893588</v>
      </c>
      <c r="M5" s="5">
        <f t="shared" si="3"/>
        <v>5.7514839816394296</v>
      </c>
      <c r="N5" s="5">
        <f t="shared" si="4"/>
        <v>9.3008081446241064E-2</v>
      </c>
      <c r="O5" s="5">
        <f t="shared" si="5"/>
        <v>9.5043605503829731E-2</v>
      </c>
    </row>
    <row r="6" spans="1:15" ht="15.6" customHeight="1" x14ac:dyDescent="0.3">
      <c r="A6" s="3">
        <v>1</v>
      </c>
      <c r="B6" s="3">
        <v>200</v>
      </c>
      <c r="C6" s="3">
        <v>1000</v>
      </c>
      <c r="D6" s="4">
        <v>0.1</v>
      </c>
      <c r="E6" s="3">
        <v>8</v>
      </c>
      <c r="F6" s="4">
        <v>0</v>
      </c>
      <c r="G6" s="4">
        <v>144.04</v>
      </c>
      <c r="H6" s="4">
        <v>55.47</v>
      </c>
      <c r="I6" s="4"/>
      <c r="J6" s="4">
        <f t="shared" si="0"/>
        <v>1.7541154180953999</v>
      </c>
      <c r="K6" s="5">
        <f t="shared" si="1"/>
        <v>6.1966813768439604</v>
      </c>
      <c r="L6" s="5">
        <f t="shared" si="2"/>
        <v>6.0942381602320683</v>
      </c>
      <c r="M6" s="5">
        <f t="shared" si="3"/>
        <v>6.301599565530438</v>
      </c>
      <c r="N6" s="5">
        <f t="shared" si="4"/>
        <v>0.10244321661189204</v>
      </c>
      <c r="O6" s="5">
        <f t="shared" si="5"/>
        <v>0.10491818868647762</v>
      </c>
    </row>
    <row r="7" spans="1:15" ht="15.6" customHeight="1" x14ac:dyDescent="0.3">
      <c r="A7" s="3">
        <v>1</v>
      </c>
      <c r="B7" s="3">
        <v>200</v>
      </c>
      <c r="C7" s="3">
        <v>1000</v>
      </c>
      <c r="D7" s="4">
        <v>0.1</v>
      </c>
      <c r="E7" s="3">
        <v>9</v>
      </c>
      <c r="F7" s="4">
        <v>0</v>
      </c>
      <c r="G7" s="4">
        <v>138.47</v>
      </c>
      <c r="H7" s="4">
        <v>61.73</v>
      </c>
      <c r="I7" s="4"/>
      <c r="J7" s="4">
        <f t="shared" si="0"/>
        <v>1.9520739996219405</v>
      </c>
      <c r="K7" s="5">
        <f t="shared" si="1"/>
        <v>6.3679555817975384</v>
      </c>
      <c r="L7" s="5">
        <f t="shared" si="2"/>
        <v>6.2495835982406023</v>
      </c>
      <c r="M7" s="5">
        <f t="shared" si="3"/>
        <v>6.4896445500081112</v>
      </c>
      <c r="N7" s="5">
        <f t="shared" si="4"/>
        <v>0.11837198355693612</v>
      </c>
      <c r="O7" s="5">
        <f t="shared" si="5"/>
        <v>0.12168896821057285</v>
      </c>
    </row>
    <row r="8" spans="1:15" ht="15.6" customHeight="1" x14ac:dyDescent="0.3">
      <c r="A8" s="3">
        <v>1</v>
      </c>
      <c r="B8" s="3">
        <v>200</v>
      </c>
      <c r="C8" s="3">
        <v>1000</v>
      </c>
      <c r="D8" s="4">
        <v>0.1</v>
      </c>
      <c r="E8" s="3">
        <v>10</v>
      </c>
      <c r="F8" s="4">
        <v>0</v>
      </c>
      <c r="G8" s="4">
        <v>127.19</v>
      </c>
      <c r="H8" s="4">
        <v>60.98</v>
      </c>
      <c r="I8" s="4"/>
      <c r="J8" s="4">
        <f t="shared" si="0"/>
        <v>1.9283569171706776</v>
      </c>
      <c r="K8" s="5">
        <f t="shared" si="1"/>
        <v>6.7369828306135249</v>
      </c>
      <c r="L8" s="5">
        <f t="shared" si="2"/>
        <v>6.609808170518896</v>
      </c>
      <c r="M8" s="5">
        <f t="shared" si="3"/>
        <v>6.8679941848591799</v>
      </c>
      <c r="N8" s="5">
        <f t="shared" si="4"/>
        <v>0.12717466009462886</v>
      </c>
      <c r="O8" s="5">
        <f t="shared" si="5"/>
        <v>0.13101135424565502</v>
      </c>
    </row>
    <row r="9" spans="1:15" ht="15.6" customHeight="1" x14ac:dyDescent="0.3">
      <c r="A9" s="3">
        <v>1</v>
      </c>
      <c r="B9" s="3">
        <v>200</v>
      </c>
      <c r="C9" s="3">
        <v>1000</v>
      </c>
      <c r="D9" s="4">
        <v>0.1</v>
      </c>
      <c r="E9" s="3">
        <v>11</v>
      </c>
      <c r="F9" s="4">
        <v>0</v>
      </c>
      <c r="G9" s="4">
        <v>122.37</v>
      </c>
      <c r="H9" s="4">
        <v>64.16</v>
      </c>
      <c r="I9" s="4"/>
      <c r="J9" s="4">
        <f t="shared" si="0"/>
        <v>2.028917346764032</v>
      </c>
      <c r="K9" s="5">
        <f t="shared" si="1"/>
        <v>6.9047629034688649</v>
      </c>
      <c r="L9" s="5">
        <f t="shared" si="2"/>
        <v>6.7658742276945194</v>
      </c>
      <c r="M9" s="5">
        <f t="shared" si="3"/>
        <v>7.0482404377540453</v>
      </c>
      <c r="N9" s="5">
        <f t="shared" si="4"/>
        <v>0.13888867577434549</v>
      </c>
      <c r="O9" s="5">
        <f t="shared" si="5"/>
        <v>0.1434775342851804</v>
      </c>
    </row>
    <row r="10" spans="1:15" ht="15.6" customHeight="1" x14ac:dyDescent="0.3">
      <c r="A10" s="3">
        <v>1</v>
      </c>
      <c r="B10" s="3">
        <v>200</v>
      </c>
      <c r="C10" s="3">
        <v>1000</v>
      </c>
      <c r="D10" s="4">
        <v>0.1</v>
      </c>
      <c r="E10" s="3">
        <v>12</v>
      </c>
      <c r="F10" s="4">
        <v>0</v>
      </c>
      <c r="G10" s="4">
        <v>113.78</v>
      </c>
      <c r="H10" s="4">
        <v>59.67</v>
      </c>
      <c r="I10" s="4"/>
      <c r="J10" s="4">
        <f t="shared" si="0"/>
        <v>1.8869310798224721</v>
      </c>
      <c r="K10" s="5">
        <f t="shared" si="1"/>
        <v>7.220853209518908</v>
      </c>
      <c r="L10" s="5">
        <f t="shared" si="2"/>
        <v>7.0819328313804109</v>
      </c>
      <c r="M10" s="5">
        <f t="shared" si="3"/>
        <v>7.3643645761060199</v>
      </c>
      <c r="N10" s="5">
        <f t="shared" si="4"/>
        <v>0.13892037813849711</v>
      </c>
      <c r="O10" s="5">
        <f t="shared" si="5"/>
        <v>0.14351136658711194</v>
      </c>
    </row>
    <row r="11" spans="1:15" ht="15.6" customHeight="1" x14ac:dyDescent="0.3">
      <c r="A11" s="3">
        <v>1</v>
      </c>
      <c r="B11" s="3">
        <v>200</v>
      </c>
      <c r="C11" s="3">
        <v>1000</v>
      </c>
      <c r="D11" s="4">
        <v>0.1</v>
      </c>
      <c r="E11" s="3">
        <v>13</v>
      </c>
      <c r="F11" s="4">
        <v>0</v>
      </c>
      <c r="G11" s="4">
        <v>109.47</v>
      </c>
      <c r="H11" s="4">
        <v>61.38</v>
      </c>
      <c r="I11" s="4"/>
      <c r="J11" s="4">
        <f t="shared" si="0"/>
        <v>1.9410060278113515</v>
      </c>
      <c r="K11" s="5">
        <f t="shared" si="1"/>
        <v>7.3885613229933291</v>
      </c>
      <c r="L11" s="5">
        <f t="shared" si="2"/>
        <v>7.2401958799190638</v>
      </c>
      <c r="M11" s="5">
        <f t="shared" si="3"/>
        <v>7.5421751110821322</v>
      </c>
      <c r="N11" s="5">
        <f t="shared" si="4"/>
        <v>0.14836544307426536</v>
      </c>
      <c r="O11" s="5">
        <f t="shared" si="5"/>
        <v>0.1536137880888031</v>
      </c>
    </row>
    <row r="12" spans="1:15" ht="15.6" customHeight="1" x14ac:dyDescent="0.3">
      <c r="A12" s="3">
        <v>1</v>
      </c>
      <c r="B12" s="3">
        <v>200</v>
      </c>
      <c r="C12" s="3">
        <v>1000</v>
      </c>
      <c r="D12" s="4">
        <v>0.1</v>
      </c>
      <c r="E12" s="3">
        <v>14</v>
      </c>
      <c r="F12" s="4">
        <v>0</v>
      </c>
      <c r="G12" s="4">
        <v>111.03</v>
      </c>
      <c r="H12" s="4">
        <v>63.37</v>
      </c>
      <c r="I12" s="4"/>
      <c r="J12" s="4">
        <f t="shared" si="0"/>
        <v>2.0039353532487021</v>
      </c>
      <c r="K12" s="5">
        <f t="shared" si="1"/>
        <v>7.3271091056886934</v>
      </c>
      <c r="L12" s="5">
        <f t="shared" si="2"/>
        <v>7.1761313403951821</v>
      </c>
      <c r="M12" s="5">
        <f t="shared" si="3"/>
        <v>7.4835250696630959</v>
      </c>
      <c r="N12" s="5">
        <f t="shared" si="4"/>
        <v>0.15097776529351137</v>
      </c>
      <c r="O12" s="5">
        <f t="shared" si="5"/>
        <v>0.15641596397440249</v>
      </c>
    </row>
    <row r="13" spans="1:15" ht="15.6" customHeight="1" x14ac:dyDescent="0.3">
      <c r="A13" s="3">
        <v>1</v>
      </c>
      <c r="B13" s="3">
        <v>200</v>
      </c>
      <c r="C13" s="3">
        <v>1000</v>
      </c>
      <c r="D13" s="4">
        <v>0.1</v>
      </c>
      <c r="E13" s="3">
        <v>15</v>
      </c>
      <c r="F13" s="4">
        <v>0</v>
      </c>
      <c r="G13" s="4">
        <v>103.57</v>
      </c>
      <c r="H13" s="4">
        <v>62.75</v>
      </c>
      <c r="I13" s="4"/>
      <c r="J13" s="4">
        <f t="shared" si="0"/>
        <v>1.984329231755658</v>
      </c>
      <c r="K13" s="5">
        <f t="shared" si="1"/>
        <v>7.6291727413693522</v>
      </c>
      <c r="L13" s="5">
        <f t="shared" si="2"/>
        <v>7.4690730260992506</v>
      </c>
      <c r="M13" s="5">
        <f t="shared" si="3"/>
        <v>7.7954010718758493</v>
      </c>
      <c r="N13" s="5">
        <f t="shared" si="4"/>
        <v>0.16009971527010158</v>
      </c>
      <c r="O13" s="5">
        <f t="shared" si="5"/>
        <v>0.1662283305064971</v>
      </c>
    </row>
    <row r="14" spans="1:15" ht="15.6" customHeight="1" x14ac:dyDescent="0.3">
      <c r="A14" s="3">
        <v>1</v>
      </c>
      <c r="B14" s="3">
        <v>200</v>
      </c>
      <c r="C14" s="3">
        <v>1000</v>
      </c>
      <c r="D14" s="4">
        <v>0.1</v>
      </c>
      <c r="E14" s="3">
        <v>16</v>
      </c>
      <c r="F14" s="4">
        <v>0</v>
      </c>
      <c r="G14" s="4">
        <v>106.77</v>
      </c>
      <c r="H14" s="4">
        <v>66.37</v>
      </c>
      <c r="I14" s="4"/>
      <c r="J14" s="4">
        <f t="shared" si="0"/>
        <v>2.0988036830537538</v>
      </c>
      <c r="K14" s="5">
        <f t="shared" si="1"/>
        <v>7.4970200766013528</v>
      </c>
      <c r="L14" s="5">
        <f t="shared" si="2"/>
        <v>7.3328371660090692</v>
      </c>
      <c r="M14" s="5">
        <f t="shared" si="3"/>
        <v>7.6676545382934389</v>
      </c>
      <c r="N14" s="5">
        <f t="shared" si="4"/>
        <v>0.16418291059228363</v>
      </c>
      <c r="O14" s="5">
        <f t="shared" si="5"/>
        <v>0.17063446169208607</v>
      </c>
    </row>
    <row r="15" spans="1:15" ht="15.6" customHeight="1" x14ac:dyDescent="0.3">
      <c r="A15" s="3">
        <v>1</v>
      </c>
      <c r="B15" s="3">
        <v>200</v>
      </c>
      <c r="C15" s="3">
        <v>1000</v>
      </c>
      <c r="D15" s="4">
        <v>0.1</v>
      </c>
      <c r="E15" s="3">
        <v>17</v>
      </c>
      <c r="F15" s="4">
        <v>0</v>
      </c>
      <c r="G15" s="4">
        <v>104.09</v>
      </c>
      <c r="H15" s="4">
        <v>64.73</v>
      </c>
      <c r="I15" s="4"/>
      <c r="J15" s="4">
        <f t="shared" si="0"/>
        <v>2.0469423294269919</v>
      </c>
      <c r="K15" s="5">
        <f t="shared" si="1"/>
        <v>7.6074224184743251</v>
      </c>
      <c r="L15" s="5">
        <f t="shared" si="2"/>
        <v>7.443174934698539</v>
      </c>
      <c r="M15" s="5">
        <f t="shared" si="3"/>
        <v>7.7781266295945581</v>
      </c>
      <c r="N15" s="5">
        <f t="shared" si="4"/>
        <v>0.16424748377578613</v>
      </c>
      <c r="O15" s="5">
        <f t="shared" si="5"/>
        <v>0.17070421112023304</v>
      </c>
    </row>
    <row r="16" spans="1:15" ht="15.6" customHeight="1" x14ac:dyDescent="0.3">
      <c r="A16" s="3">
        <v>1</v>
      </c>
      <c r="B16" s="3">
        <v>200</v>
      </c>
      <c r="C16" s="3">
        <v>1000</v>
      </c>
      <c r="D16" s="4">
        <v>0.1</v>
      </c>
      <c r="E16" s="3">
        <v>18</v>
      </c>
      <c r="F16" s="4">
        <v>0</v>
      </c>
      <c r="G16" s="4">
        <v>96.44</v>
      </c>
      <c r="H16" s="4">
        <v>63.29</v>
      </c>
      <c r="I16" s="4"/>
      <c r="J16" s="4">
        <f t="shared" si="0"/>
        <v>2.0014055311205672</v>
      </c>
      <c r="K16" s="5">
        <f t="shared" si="1"/>
        <v>7.9389404867822755</v>
      </c>
      <c r="L16" s="5">
        <f t="shared" si="2"/>
        <v>7.7657867669859364</v>
      </c>
      <c r="M16" s="5">
        <f t="shared" si="3"/>
        <v>8.1192855786802269</v>
      </c>
      <c r="N16" s="5">
        <f t="shared" si="4"/>
        <v>0.17315371979633909</v>
      </c>
      <c r="O16" s="5">
        <f t="shared" si="5"/>
        <v>0.18034509189795145</v>
      </c>
    </row>
    <row r="17" spans="1:15" ht="15.6" customHeight="1" x14ac:dyDescent="0.3">
      <c r="A17" s="3">
        <v>1</v>
      </c>
      <c r="B17" s="3">
        <v>200</v>
      </c>
      <c r="C17" s="3">
        <v>1000</v>
      </c>
      <c r="D17" s="4">
        <v>0.1</v>
      </c>
      <c r="E17" s="3">
        <v>19</v>
      </c>
      <c r="F17" s="4">
        <v>0</v>
      </c>
      <c r="G17" s="4">
        <v>98.36</v>
      </c>
      <c r="H17" s="4">
        <v>63.53</v>
      </c>
      <c r="I17" s="4"/>
      <c r="J17" s="4">
        <f t="shared" si="0"/>
        <v>2.0089949975049715</v>
      </c>
      <c r="K17" s="5">
        <f t="shared" si="1"/>
        <v>7.8533273031696416</v>
      </c>
      <c r="L17" s="5">
        <f t="shared" si="2"/>
        <v>7.6828567732747537</v>
      </c>
      <c r="M17" s="5">
        <f t="shared" si="3"/>
        <v>8.0307635426434896</v>
      </c>
      <c r="N17" s="5">
        <f t="shared" si="4"/>
        <v>0.17047052989488787</v>
      </c>
      <c r="O17" s="5">
        <f t="shared" si="5"/>
        <v>0.17743623947384801</v>
      </c>
    </row>
    <row r="18" spans="1:15" ht="15.6" customHeight="1" x14ac:dyDescent="0.3">
      <c r="A18" s="3">
        <v>1</v>
      </c>
      <c r="B18" s="3">
        <v>200</v>
      </c>
      <c r="C18" s="3">
        <v>1000</v>
      </c>
      <c r="D18" s="4">
        <v>0.1</v>
      </c>
      <c r="E18" s="3">
        <v>20</v>
      </c>
      <c r="F18" s="4">
        <v>0</v>
      </c>
      <c r="G18" s="4">
        <v>99.52</v>
      </c>
      <c r="H18" s="4">
        <v>64.290000000000006</v>
      </c>
      <c r="I18" s="4"/>
      <c r="J18" s="4">
        <f t="shared" si="0"/>
        <v>2.0330283077222515</v>
      </c>
      <c r="K18" s="5">
        <f t="shared" si="1"/>
        <v>7.8024088303690018</v>
      </c>
      <c r="L18" s="5">
        <f t="shared" si="2"/>
        <v>7.6319103056995132</v>
      </c>
      <c r="M18" s="5">
        <f t="shared" si="3"/>
        <v>7.97987539971421</v>
      </c>
      <c r="N18" s="5">
        <f t="shared" si="4"/>
        <v>0.17049852466948856</v>
      </c>
      <c r="O18" s="5">
        <f t="shared" si="5"/>
        <v>0.17746656934520821</v>
      </c>
    </row>
    <row r="19" spans="1:15" ht="15.6" customHeight="1" x14ac:dyDescent="0.3">
      <c r="A19" s="13" t="s">
        <v>15</v>
      </c>
      <c r="B19" s="7"/>
      <c r="C19" s="7"/>
      <c r="D19" s="8"/>
      <c r="E19" s="7"/>
      <c r="F19" s="8"/>
      <c r="G19" s="8"/>
      <c r="H19" s="8"/>
      <c r="I19" s="8"/>
      <c r="J19" s="9"/>
      <c r="K19" s="10"/>
      <c r="L19" s="10"/>
      <c r="M19" s="10"/>
      <c r="N19" s="10"/>
      <c r="O19" s="10"/>
    </row>
    <row r="20" spans="1:15" ht="15.6" customHeight="1" x14ac:dyDescent="0.3">
      <c r="A20" s="3">
        <v>2</v>
      </c>
      <c r="B20" s="3">
        <v>200</v>
      </c>
      <c r="C20" s="3">
        <v>1000</v>
      </c>
      <c r="D20" s="4">
        <v>0.1</v>
      </c>
      <c r="E20" s="3">
        <v>5</v>
      </c>
      <c r="F20" s="4">
        <v>0</v>
      </c>
      <c r="G20" s="4">
        <v>270.55</v>
      </c>
      <c r="H20" s="4">
        <v>29.73</v>
      </c>
      <c r="I20" s="4"/>
      <c r="J20" s="4">
        <f t="shared" ref="J20:J35" si="6">H20/SQRT(C20)</f>
        <v>0.94014514836805918</v>
      </c>
      <c r="K20" s="5">
        <f t="shared" ref="K20:K35" si="7">-10*LOG10(G20/(B20*3))</f>
        <v>3.4590371211504305</v>
      </c>
      <c r="L20" s="5">
        <f t="shared" ref="L20:L35" si="8">-10*LOG10((G20+1.96*J20)/(B20*3))</f>
        <v>3.4295581060816609</v>
      </c>
      <c r="M20" s="5">
        <f t="shared" ref="M20:M35" si="9">-10*LOG10((G20-1.96*J20)/(B20*3))</f>
        <v>3.488717601989713</v>
      </c>
      <c r="N20" s="5">
        <f t="shared" ref="N20:N35" si="10">K20-L20</f>
        <v>2.9479015068769598E-2</v>
      </c>
      <c r="O20" s="5">
        <f t="shared" ref="O20:O35" si="11">M20-K20</f>
        <v>2.9680480839282541E-2</v>
      </c>
    </row>
    <row r="21" spans="1:15" ht="15.6" customHeight="1" x14ac:dyDescent="0.3">
      <c r="A21" s="3">
        <v>2</v>
      </c>
      <c r="B21" s="3">
        <v>200</v>
      </c>
      <c r="C21" s="3">
        <v>1000</v>
      </c>
      <c r="D21" s="4">
        <v>0.1</v>
      </c>
      <c r="E21" s="3">
        <v>6</v>
      </c>
      <c r="F21" s="3">
        <v>0</v>
      </c>
      <c r="G21" s="4">
        <v>213.19</v>
      </c>
      <c r="H21" s="4">
        <v>50.2</v>
      </c>
      <c r="I21" s="4"/>
      <c r="J21" s="4">
        <f t="shared" si="6"/>
        <v>1.5874633854045266</v>
      </c>
      <c r="K21" s="5">
        <f t="shared" si="7"/>
        <v>4.4938442079211853</v>
      </c>
      <c r="L21" s="5">
        <f t="shared" si="8"/>
        <v>4.4309186329451915</v>
      </c>
      <c r="M21" s="5">
        <f t="shared" si="9"/>
        <v>4.5576949421277533</v>
      </c>
      <c r="N21" s="5">
        <f t="shared" si="10"/>
        <v>6.2925574975993825E-2</v>
      </c>
      <c r="O21" s="5">
        <f t="shared" si="11"/>
        <v>6.385073420656795E-2</v>
      </c>
    </row>
    <row r="22" spans="1:15" ht="15.6" customHeight="1" x14ac:dyDescent="0.3">
      <c r="A22" s="3">
        <v>2</v>
      </c>
      <c r="B22" s="3">
        <v>200</v>
      </c>
      <c r="C22" s="3">
        <v>1000</v>
      </c>
      <c r="D22" s="4">
        <v>0.1</v>
      </c>
      <c r="E22" s="3">
        <v>7</v>
      </c>
      <c r="F22" s="4">
        <v>0</v>
      </c>
      <c r="G22" s="4">
        <v>174.22</v>
      </c>
      <c r="H22" s="4">
        <v>54.24</v>
      </c>
      <c r="I22" s="4"/>
      <c r="J22" s="4">
        <f t="shared" si="6"/>
        <v>1.7152194028753291</v>
      </c>
      <c r="K22" s="5">
        <f t="shared" si="7"/>
        <v>5.370532409803098</v>
      </c>
      <c r="L22" s="5">
        <f t="shared" si="8"/>
        <v>5.2875272318406195</v>
      </c>
      <c r="M22" s="5">
        <f t="shared" si="9"/>
        <v>5.4551549997807935</v>
      </c>
      <c r="N22" s="5">
        <f t="shared" si="10"/>
        <v>8.3005177962478527E-2</v>
      </c>
      <c r="O22" s="5">
        <f t="shared" si="11"/>
        <v>8.4622589977695561E-2</v>
      </c>
    </row>
    <row r="23" spans="1:15" ht="15.6" customHeight="1" x14ac:dyDescent="0.3">
      <c r="A23" s="3">
        <v>2</v>
      </c>
      <c r="B23" s="3">
        <v>200</v>
      </c>
      <c r="C23" s="3">
        <v>1000</v>
      </c>
      <c r="D23" s="4">
        <v>0.1</v>
      </c>
      <c r="E23" s="3">
        <v>8</v>
      </c>
      <c r="F23" s="4">
        <v>0</v>
      </c>
      <c r="G23" s="4">
        <v>138.99</v>
      </c>
      <c r="H23" s="4">
        <v>47.55</v>
      </c>
      <c r="I23" s="4"/>
      <c r="J23" s="4">
        <f t="shared" si="6"/>
        <v>1.5036630274100644</v>
      </c>
      <c r="K23" s="5">
        <f t="shared" si="7"/>
        <v>6.3516769546082594</v>
      </c>
      <c r="L23" s="5">
        <f t="shared" si="8"/>
        <v>6.260550793703751</v>
      </c>
      <c r="M23" s="5">
        <f t="shared" si="9"/>
        <v>6.4447562315175553</v>
      </c>
      <c r="N23" s="5">
        <f t="shared" si="10"/>
        <v>9.1126160904508424E-2</v>
      </c>
      <c r="O23" s="5">
        <f t="shared" si="11"/>
        <v>9.3079276909295849E-2</v>
      </c>
    </row>
    <row r="24" spans="1:15" ht="15.6" customHeight="1" x14ac:dyDescent="0.3">
      <c r="A24" s="3">
        <v>2</v>
      </c>
      <c r="B24" s="3">
        <v>200</v>
      </c>
      <c r="C24" s="3">
        <v>1000</v>
      </c>
      <c r="D24" s="4">
        <v>0.1</v>
      </c>
      <c r="E24" s="3">
        <v>9</v>
      </c>
      <c r="F24" s="4">
        <v>0</v>
      </c>
      <c r="G24" s="4">
        <v>114.58</v>
      </c>
      <c r="H24" s="4">
        <v>40.729999999999997</v>
      </c>
      <c r="I24" s="4"/>
      <c r="J24" s="4">
        <f t="shared" si="6"/>
        <v>1.2879956909865808</v>
      </c>
      <c r="K24" s="5">
        <f t="shared" si="7"/>
        <v>7.1904243247004986</v>
      </c>
      <c r="L24" s="5">
        <f t="shared" si="8"/>
        <v>7.0957777175623562</v>
      </c>
      <c r="M24" s="5">
        <f t="shared" si="9"/>
        <v>7.2871796234417996</v>
      </c>
      <c r="N24" s="5">
        <f t="shared" si="10"/>
        <v>9.4646607138142436E-2</v>
      </c>
      <c r="O24" s="5">
        <f t="shared" si="11"/>
        <v>9.6755298741300955E-2</v>
      </c>
    </row>
    <row r="25" spans="1:15" ht="15.6" customHeight="1" x14ac:dyDescent="0.3">
      <c r="A25" s="3">
        <v>2</v>
      </c>
      <c r="B25" s="3">
        <v>200</v>
      </c>
      <c r="C25" s="3">
        <v>1000</v>
      </c>
      <c r="D25" s="4">
        <v>0.1</v>
      </c>
      <c r="E25" s="3">
        <v>10</v>
      </c>
      <c r="F25" s="4">
        <v>0</v>
      </c>
      <c r="G25" s="4">
        <v>92.6</v>
      </c>
      <c r="H25" s="4">
        <v>24.69</v>
      </c>
      <c r="I25" s="4"/>
      <c r="J25" s="4">
        <f t="shared" si="6"/>
        <v>0.78076635429557295</v>
      </c>
      <c r="K25" s="5">
        <f t="shared" si="7"/>
        <v>8.1154026370170929</v>
      </c>
      <c r="L25" s="5">
        <f t="shared" si="8"/>
        <v>8.0442179808723342</v>
      </c>
      <c r="M25" s="5">
        <f t="shared" si="9"/>
        <v>8.1877735424685945</v>
      </c>
      <c r="N25" s="5">
        <f t="shared" si="10"/>
        <v>7.1184656144758662E-2</v>
      </c>
      <c r="O25" s="5">
        <f t="shared" si="11"/>
        <v>7.2370905451501599E-2</v>
      </c>
    </row>
    <row r="26" spans="1:15" ht="15.6" customHeight="1" x14ac:dyDescent="0.3">
      <c r="A26" s="3">
        <v>2</v>
      </c>
      <c r="B26" s="3">
        <v>200</v>
      </c>
      <c r="C26" s="3">
        <v>1000</v>
      </c>
      <c r="D26" s="4">
        <v>0.1</v>
      </c>
      <c r="E26" s="3">
        <v>11</v>
      </c>
      <c r="F26" s="4">
        <v>0</v>
      </c>
      <c r="G26" s="4">
        <v>82.7</v>
      </c>
      <c r="H26" s="4">
        <v>22.05</v>
      </c>
      <c r="I26" s="4"/>
      <c r="J26" s="4">
        <f t="shared" si="6"/>
        <v>0.6972822240671277</v>
      </c>
      <c r="K26" s="5">
        <f t="shared" si="7"/>
        <v>8.6064574083109697</v>
      </c>
      <c r="L26" s="5">
        <f t="shared" si="8"/>
        <v>8.5352738932549439</v>
      </c>
      <c r="M26" s="5">
        <f t="shared" si="9"/>
        <v>8.6788271343251715</v>
      </c>
      <c r="N26" s="5">
        <f t="shared" si="10"/>
        <v>7.1183515056025826E-2</v>
      </c>
      <c r="O26" s="5">
        <f t="shared" si="11"/>
        <v>7.2369726014201774E-2</v>
      </c>
    </row>
    <row r="27" spans="1:15" ht="15.6" customHeight="1" x14ac:dyDescent="0.3">
      <c r="A27" s="3">
        <v>2</v>
      </c>
      <c r="B27" s="3">
        <v>200</v>
      </c>
      <c r="C27" s="3">
        <v>1000</v>
      </c>
      <c r="D27" s="4">
        <v>0.1</v>
      </c>
      <c r="E27" s="3">
        <v>12</v>
      </c>
      <c r="F27" s="4">
        <v>0</v>
      </c>
      <c r="G27" s="4">
        <v>73.94</v>
      </c>
      <c r="H27" s="4">
        <v>14.37</v>
      </c>
      <c r="I27" s="4"/>
      <c r="J27" s="4">
        <f t="shared" si="6"/>
        <v>0.45441929976619611</v>
      </c>
      <c r="K27" s="5">
        <f t="shared" si="7"/>
        <v>9.092718041465556</v>
      </c>
      <c r="L27" s="5">
        <f t="shared" si="8"/>
        <v>9.040716640971544</v>
      </c>
      <c r="M27" s="5">
        <f t="shared" si="9"/>
        <v>9.1453496480670786</v>
      </c>
      <c r="N27" s="5">
        <f t="shared" si="10"/>
        <v>5.2001400494011918E-2</v>
      </c>
      <c r="O27" s="5">
        <f t="shared" si="11"/>
        <v>5.2631606601522662E-2</v>
      </c>
    </row>
    <row r="28" spans="1:15" ht="15.6" customHeight="1" x14ac:dyDescent="0.3">
      <c r="A28" s="3">
        <v>2</v>
      </c>
      <c r="B28" s="3">
        <v>200</v>
      </c>
      <c r="C28" s="3">
        <v>1000</v>
      </c>
      <c r="D28" s="4">
        <v>0.1</v>
      </c>
      <c r="E28" s="3">
        <v>13</v>
      </c>
      <c r="F28" s="3">
        <v>0</v>
      </c>
      <c r="G28" s="4">
        <v>67.44</v>
      </c>
      <c r="H28" s="4">
        <v>15.59</v>
      </c>
      <c r="I28" s="4"/>
      <c r="J28" s="4">
        <f t="shared" si="6"/>
        <v>0.49299908722025032</v>
      </c>
      <c r="K28" s="5">
        <f t="shared" si="7"/>
        <v>9.4923368876695768</v>
      </c>
      <c r="L28" s="5">
        <f t="shared" si="8"/>
        <v>9.4305528803125078</v>
      </c>
      <c r="M28" s="5">
        <f t="shared" si="9"/>
        <v>9.5550125526834488</v>
      </c>
      <c r="N28" s="5">
        <f t="shared" si="10"/>
        <v>6.1784007357069015E-2</v>
      </c>
      <c r="O28" s="5">
        <f t="shared" si="11"/>
        <v>6.2675665013872006E-2</v>
      </c>
    </row>
    <row r="29" spans="1:15" ht="15.6" customHeight="1" x14ac:dyDescent="0.3">
      <c r="A29" s="3">
        <v>2</v>
      </c>
      <c r="B29" s="3">
        <v>200</v>
      </c>
      <c r="C29" s="3">
        <v>1000</v>
      </c>
      <c r="D29" s="4">
        <v>0.1</v>
      </c>
      <c r="E29" s="3">
        <v>14</v>
      </c>
      <c r="F29" s="4">
        <v>0</v>
      </c>
      <c r="G29" s="4">
        <v>63.6</v>
      </c>
      <c r="H29" s="4">
        <v>14.65</v>
      </c>
      <c r="I29" s="4"/>
      <c r="J29" s="4">
        <f t="shared" si="6"/>
        <v>0.46327367721466761</v>
      </c>
      <c r="K29" s="5">
        <f t="shared" si="7"/>
        <v>9.7469413473522977</v>
      </c>
      <c r="L29" s="5">
        <f t="shared" si="8"/>
        <v>9.6853756264539808</v>
      </c>
      <c r="M29" s="5">
        <f t="shared" si="9"/>
        <v>9.8093923912312402</v>
      </c>
      <c r="N29" s="5">
        <f t="shared" si="10"/>
        <v>6.1565720898316911E-2</v>
      </c>
      <c r="O29" s="5">
        <f t="shared" si="11"/>
        <v>6.2451043878942514E-2</v>
      </c>
    </row>
    <row r="30" spans="1:15" ht="15.6" customHeight="1" x14ac:dyDescent="0.3">
      <c r="A30" s="3">
        <v>2</v>
      </c>
      <c r="B30" s="3">
        <v>200</v>
      </c>
      <c r="C30" s="3">
        <v>1000</v>
      </c>
      <c r="D30" s="4">
        <v>0.1</v>
      </c>
      <c r="E30" s="3">
        <v>15</v>
      </c>
      <c r="F30" s="3">
        <v>0</v>
      </c>
      <c r="G30" s="4">
        <v>59.98</v>
      </c>
      <c r="H30" s="4">
        <v>12.18</v>
      </c>
      <c r="I30" s="4"/>
      <c r="J30" s="4">
        <f t="shared" si="6"/>
        <v>0.38516541900850859</v>
      </c>
      <c r="K30" s="5">
        <f t="shared" si="7"/>
        <v>10.001447889601353</v>
      </c>
      <c r="L30" s="5">
        <f t="shared" si="8"/>
        <v>9.9471275642685129</v>
      </c>
      <c r="M30" s="5">
        <f t="shared" si="9"/>
        <v>10.056456253067976</v>
      </c>
      <c r="N30" s="5">
        <f t="shared" si="10"/>
        <v>5.4320325332840369E-2</v>
      </c>
      <c r="O30" s="5">
        <f t="shared" si="11"/>
        <v>5.5008363466622967E-2</v>
      </c>
    </row>
    <row r="31" spans="1:15" ht="15.6" customHeight="1" x14ac:dyDescent="0.3">
      <c r="A31" s="3">
        <v>2</v>
      </c>
      <c r="B31" s="3">
        <v>200</v>
      </c>
      <c r="C31" s="3">
        <v>1000</v>
      </c>
      <c r="D31" s="4">
        <v>0.1</v>
      </c>
      <c r="E31" s="3">
        <v>16</v>
      </c>
      <c r="F31" s="3">
        <v>0</v>
      </c>
      <c r="G31" s="4">
        <v>56.68</v>
      </c>
      <c r="H31" s="4">
        <v>15.54</v>
      </c>
      <c r="I31" s="4"/>
      <c r="J31" s="4">
        <f t="shared" si="6"/>
        <v>0.49141794839016611</v>
      </c>
      <c r="K31" s="5">
        <f t="shared" si="7"/>
        <v>10.247214088082208</v>
      </c>
      <c r="L31" s="5">
        <f t="shared" si="8"/>
        <v>10.174033250537345</v>
      </c>
      <c r="M31" s="5">
        <f t="shared" si="9"/>
        <v>10.321649225889967</v>
      </c>
      <c r="N31" s="5">
        <f t="shared" si="10"/>
        <v>7.3180837544862598E-2</v>
      </c>
      <c r="O31" s="5">
        <f t="shared" si="11"/>
        <v>7.4435137807759233E-2</v>
      </c>
    </row>
    <row r="32" spans="1:15" ht="15.6" customHeight="1" x14ac:dyDescent="0.3">
      <c r="A32" s="3">
        <v>2</v>
      </c>
      <c r="B32" s="3">
        <v>200</v>
      </c>
      <c r="C32" s="3">
        <v>1000</v>
      </c>
      <c r="D32" s="4">
        <v>0.1</v>
      </c>
      <c r="E32" s="3">
        <v>17</v>
      </c>
      <c r="F32" s="4">
        <v>0</v>
      </c>
      <c r="G32" s="4">
        <v>52.73</v>
      </c>
      <c r="H32" s="4">
        <v>11.65</v>
      </c>
      <c r="I32" s="4"/>
      <c r="J32" s="4">
        <f t="shared" si="6"/>
        <v>0.36840534740961622</v>
      </c>
      <c r="K32" s="5">
        <f t="shared" si="7"/>
        <v>10.560934790521795</v>
      </c>
      <c r="L32" s="5">
        <f t="shared" si="8"/>
        <v>10.501866854948867</v>
      </c>
      <c r="M32" s="5">
        <f t="shared" si="9"/>
        <v>10.620817193080141</v>
      </c>
      <c r="N32" s="5">
        <f t="shared" si="10"/>
        <v>5.9067935572928221E-2</v>
      </c>
      <c r="O32" s="5">
        <f t="shared" si="11"/>
        <v>5.988240255834576E-2</v>
      </c>
    </row>
    <row r="33" spans="1:15" ht="15.6" customHeight="1" x14ac:dyDescent="0.3">
      <c r="A33" s="3">
        <v>2</v>
      </c>
      <c r="B33" s="3">
        <v>200</v>
      </c>
      <c r="C33" s="3">
        <v>1000</v>
      </c>
      <c r="D33" s="4">
        <v>0.1</v>
      </c>
      <c r="E33" s="3">
        <v>18</v>
      </c>
      <c r="F33" s="4">
        <v>0</v>
      </c>
      <c r="G33" s="4">
        <v>50.68</v>
      </c>
      <c r="H33" s="4">
        <v>13.88</v>
      </c>
      <c r="I33" s="4"/>
      <c r="J33" s="4">
        <f t="shared" si="6"/>
        <v>0.43892413923137108</v>
      </c>
      <c r="K33" s="5">
        <f t="shared" si="7"/>
        <v>10.733146441722399</v>
      </c>
      <c r="L33" s="5">
        <f t="shared" si="8"/>
        <v>10.660043814690177</v>
      </c>
      <c r="M33" s="5">
        <f t="shared" si="9"/>
        <v>10.807500666442566</v>
      </c>
      <c r="N33" s="5">
        <f t="shared" si="10"/>
        <v>7.3102627032222145E-2</v>
      </c>
      <c r="O33" s="5">
        <f t="shared" si="11"/>
        <v>7.4354224720167394E-2</v>
      </c>
    </row>
    <row r="34" spans="1:15" ht="15.6" customHeight="1" x14ac:dyDescent="0.3">
      <c r="A34" s="3">
        <v>2</v>
      </c>
      <c r="B34" s="3">
        <v>200</v>
      </c>
      <c r="C34" s="3">
        <v>1000</v>
      </c>
      <c r="D34" s="4">
        <v>0.1</v>
      </c>
      <c r="E34" s="3">
        <v>19</v>
      </c>
      <c r="F34" s="4">
        <v>0</v>
      </c>
      <c r="G34" s="4">
        <v>49.93</v>
      </c>
      <c r="H34" s="4">
        <v>14.01</v>
      </c>
      <c r="I34" s="4"/>
      <c r="J34" s="4">
        <f t="shared" si="6"/>
        <v>0.44303510018958997</v>
      </c>
      <c r="K34" s="5">
        <f t="shared" si="7"/>
        <v>10.79789684328534</v>
      </c>
      <c r="L34" s="5">
        <f t="shared" si="8"/>
        <v>10.723016546406498</v>
      </c>
      <c r="M34" s="5">
        <f t="shared" si="9"/>
        <v>10.874090897877002</v>
      </c>
      <c r="N34" s="5">
        <f t="shared" si="10"/>
        <v>7.488029687884179E-2</v>
      </c>
      <c r="O34" s="5">
        <f t="shared" si="11"/>
        <v>7.6194054591661953E-2</v>
      </c>
    </row>
    <row r="35" spans="1:15" ht="15.6" customHeight="1" x14ac:dyDescent="0.3">
      <c r="A35" s="3">
        <v>2</v>
      </c>
      <c r="B35" s="3">
        <v>200</v>
      </c>
      <c r="C35" s="3">
        <v>1000</v>
      </c>
      <c r="D35" s="4">
        <v>0.1</v>
      </c>
      <c r="E35" s="3">
        <v>20</v>
      </c>
      <c r="F35" s="4">
        <v>0</v>
      </c>
      <c r="G35" s="4">
        <v>47.06</v>
      </c>
      <c r="H35" s="4">
        <v>10.92</v>
      </c>
      <c r="I35" s="4"/>
      <c r="J35" s="4">
        <f t="shared" si="6"/>
        <v>0.34532072049038703</v>
      </c>
      <c r="K35" s="5">
        <f t="shared" si="7"/>
        <v>11.054993275436411</v>
      </c>
      <c r="L35" s="5">
        <f t="shared" si="8"/>
        <v>10.992976870323099</v>
      </c>
      <c r="M35" s="5">
        <f t="shared" si="9"/>
        <v>11.117908107571552</v>
      </c>
      <c r="N35" s="5">
        <f t="shared" si="10"/>
        <v>6.2016405113311635E-2</v>
      </c>
      <c r="O35" s="5">
        <f t="shared" si="11"/>
        <v>6.2914832135140486E-2</v>
      </c>
    </row>
    <row r="36" spans="1:15" ht="15.6" customHeight="1" x14ac:dyDescent="0.3">
      <c r="A36" s="13" t="s">
        <v>16</v>
      </c>
      <c r="B36" s="7"/>
      <c r="C36" s="7"/>
      <c r="D36" s="8"/>
      <c r="E36" s="7"/>
      <c r="F36" s="8"/>
      <c r="G36" s="8"/>
      <c r="H36" s="8"/>
      <c r="I36" s="8"/>
      <c r="J36" s="9"/>
      <c r="K36" s="10"/>
      <c r="L36" s="10"/>
      <c r="M36" s="10"/>
      <c r="N36" s="10"/>
      <c r="O36" s="10"/>
    </row>
    <row r="37" spans="1:15" ht="15.6" customHeight="1" x14ac:dyDescent="0.3">
      <c r="A37" s="1">
        <v>3</v>
      </c>
      <c r="B37" s="1">
        <v>200</v>
      </c>
      <c r="C37" s="1">
        <v>1000</v>
      </c>
      <c r="D37" s="2">
        <v>0.1</v>
      </c>
      <c r="E37" s="1">
        <v>5</v>
      </c>
      <c r="F37" s="2">
        <v>0</v>
      </c>
      <c r="G37" s="2">
        <v>205.01</v>
      </c>
      <c r="H37" s="2">
        <v>21.83</v>
      </c>
      <c r="J37" s="4">
        <f t="shared" ref="J37:J52" si="12">H37/SQRT(C37)</f>
        <v>0.69032521321475715</v>
      </c>
      <c r="K37" s="5">
        <f t="shared" ref="K37:K52" si="13">-10*LOG10(G37/(B37*3))</f>
        <v>4.6637620474790396</v>
      </c>
      <c r="L37" s="5">
        <f t="shared" ref="L37:L52" si="14">-10*LOG10((G37+1.96*J37)/(B37*3))</f>
        <v>4.6351933883828726</v>
      </c>
      <c r="M37" s="5">
        <f t="shared" ref="M37:M52" si="15">-10*LOG10((G37-1.96*J37)/(B37*3))</f>
        <v>4.6925198813792903</v>
      </c>
      <c r="N37" s="5">
        <f t="shared" ref="N37:N52" si="16">K37-L37</f>
        <v>2.8568659096166904E-2</v>
      </c>
      <c r="O37" s="5">
        <f t="shared" ref="O37:O52" si="17">M37-K37</f>
        <v>2.8757833900250773E-2</v>
      </c>
    </row>
    <row r="38" spans="1:15" ht="15.6" customHeight="1" x14ac:dyDescent="0.3">
      <c r="A38" s="1">
        <v>3</v>
      </c>
      <c r="B38" s="1">
        <v>200</v>
      </c>
      <c r="C38" s="1">
        <v>1000</v>
      </c>
      <c r="D38" s="2">
        <v>0.1</v>
      </c>
      <c r="E38" s="1">
        <v>6</v>
      </c>
      <c r="F38" s="2">
        <v>0</v>
      </c>
      <c r="G38" s="2">
        <v>160.5</v>
      </c>
      <c r="H38" s="2">
        <v>17.66</v>
      </c>
      <c r="J38" s="4">
        <f t="shared" si="12"/>
        <v>0.55845823478573586</v>
      </c>
      <c r="K38" s="5">
        <f t="shared" si="13"/>
        <v>5.726762136427527</v>
      </c>
      <c r="L38" s="5">
        <f t="shared" si="14"/>
        <v>5.6972446525264733</v>
      </c>
      <c r="M38" s="5">
        <f t="shared" si="15"/>
        <v>5.7564816140538158</v>
      </c>
      <c r="N38" s="5">
        <f t="shared" si="16"/>
        <v>2.9517483901053687E-2</v>
      </c>
      <c r="O38" s="5">
        <f t="shared" si="17"/>
        <v>2.9719477626288793E-2</v>
      </c>
    </row>
    <row r="39" spans="1:15" ht="15.6" customHeight="1" x14ac:dyDescent="0.3">
      <c r="A39" s="1">
        <v>3</v>
      </c>
      <c r="B39" s="1">
        <v>200</v>
      </c>
      <c r="C39" s="1">
        <v>1000</v>
      </c>
      <c r="D39" s="2">
        <v>0.1</v>
      </c>
      <c r="E39" s="1">
        <v>7</v>
      </c>
      <c r="F39" s="2">
        <v>0</v>
      </c>
      <c r="G39" s="2">
        <v>135.78</v>
      </c>
      <c r="H39" s="2">
        <v>16.91</v>
      </c>
      <c r="J39" s="4">
        <f t="shared" si="12"/>
        <v>0.53474115233447295</v>
      </c>
      <c r="K39" s="5">
        <f t="shared" si="13"/>
        <v>6.4531544604527147</v>
      </c>
      <c r="L39" s="5">
        <f t="shared" si="14"/>
        <v>6.4197597731202318</v>
      </c>
      <c r="M39" s="5">
        <f t="shared" si="15"/>
        <v>6.4868079243832995</v>
      </c>
      <c r="N39" s="5">
        <f t="shared" si="16"/>
        <v>3.3394687332482853E-2</v>
      </c>
      <c r="O39" s="5">
        <f t="shared" si="17"/>
        <v>3.365346393058477E-2</v>
      </c>
    </row>
    <row r="40" spans="1:15" ht="15.6" customHeight="1" x14ac:dyDescent="0.3">
      <c r="A40" s="1">
        <v>3</v>
      </c>
      <c r="B40" s="1">
        <v>200</v>
      </c>
      <c r="C40" s="1">
        <v>1000</v>
      </c>
      <c r="D40" s="2">
        <v>0.1</v>
      </c>
      <c r="E40" s="1">
        <v>8</v>
      </c>
      <c r="F40" s="2">
        <v>0</v>
      </c>
      <c r="G40" s="2">
        <v>118.78</v>
      </c>
      <c r="H40" s="2">
        <v>17.510000000000002</v>
      </c>
      <c r="J40" s="4">
        <f t="shared" si="12"/>
        <v>0.5537148182954833</v>
      </c>
      <c r="K40" s="5">
        <f t="shared" si="13"/>
        <v>7.034079294426407</v>
      </c>
      <c r="L40" s="5">
        <f t="shared" si="14"/>
        <v>6.9945784238541968</v>
      </c>
      <c r="M40" s="5">
        <f t="shared" si="15"/>
        <v>7.0739427419834024</v>
      </c>
      <c r="N40" s="5">
        <f t="shared" si="16"/>
        <v>3.9500870572210189E-2</v>
      </c>
      <c r="O40" s="5">
        <f t="shared" si="17"/>
        <v>3.9863447556995446E-2</v>
      </c>
    </row>
    <row r="41" spans="1:15" ht="15.6" customHeight="1" x14ac:dyDescent="0.3">
      <c r="A41" s="1">
        <v>3</v>
      </c>
      <c r="B41" s="1">
        <v>200</v>
      </c>
      <c r="C41" s="1">
        <v>1000</v>
      </c>
      <c r="D41" s="2">
        <v>0.1</v>
      </c>
      <c r="E41" s="1">
        <v>9</v>
      </c>
      <c r="F41" s="2">
        <v>0</v>
      </c>
      <c r="G41" s="2">
        <v>106.67</v>
      </c>
      <c r="H41" s="2">
        <v>16.760000000000002</v>
      </c>
      <c r="J41" s="4">
        <f t="shared" si="12"/>
        <v>0.52999773584422039</v>
      </c>
      <c r="K41" s="5">
        <f t="shared" si="13"/>
        <v>7.5010895529289403</v>
      </c>
      <c r="L41" s="5">
        <f t="shared" si="14"/>
        <v>7.4590008090012772</v>
      </c>
      <c r="M41" s="5">
        <f t="shared" si="15"/>
        <v>7.5435901861344643</v>
      </c>
      <c r="N41" s="5">
        <f t="shared" si="16"/>
        <v>4.2088743927663153E-2</v>
      </c>
      <c r="O41" s="5">
        <f t="shared" si="17"/>
        <v>4.2500633205523997E-2</v>
      </c>
    </row>
    <row r="42" spans="1:15" ht="15.6" customHeight="1" x14ac:dyDescent="0.3">
      <c r="A42" s="1">
        <v>3</v>
      </c>
      <c r="B42" s="1">
        <v>200</v>
      </c>
      <c r="C42" s="1">
        <v>1000</v>
      </c>
      <c r="D42" s="2">
        <v>0.1</v>
      </c>
      <c r="E42" s="1">
        <v>10</v>
      </c>
      <c r="F42" s="2">
        <v>0</v>
      </c>
      <c r="G42" s="2">
        <v>97.78</v>
      </c>
      <c r="H42" s="2">
        <v>16.850000000000001</v>
      </c>
      <c r="J42" s="4">
        <f t="shared" si="12"/>
        <v>0.53284378573837199</v>
      </c>
      <c r="K42" s="5">
        <f t="shared" si="13"/>
        <v>7.8790121745582686</v>
      </c>
      <c r="L42" s="5">
        <f t="shared" si="14"/>
        <v>7.8328717917596888</v>
      </c>
      <c r="M42" s="5">
        <f t="shared" si="15"/>
        <v>7.925648031473477</v>
      </c>
      <c r="N42" s="5">
        <f t="shared" si="16"/>
        <v>4.6140382798579793E-2</v>
      </c>
      <c r="O42" s="5">
        <f t="shared" si="17"/>
        <v>4.6635856915208329E-2</v>
      </c>
    </row>
    <row r="43" spans="1:15" ht="15.6" customHeight="1" x14ac:dyDescent="0.3">
      <c r="A43" s="1">
        <v>3</v>
      </c>
      <c r="B43" s="1">
        <v>200</v>
      </c>
      <c r="C43" s="1">
        <v>1000</v>
      </c>
      <c r="D43" s="2">
        <v>0.1</v>
      </c>
      <c r="E43" s="1">
        <v>11</v>
      </c>
      <c r="F43" s="2">
        <v>0</v>
      </c>
      <c r="G43" s="2">
        <v>92.25</v>
      </c>
      <c r="H43" s="2">
        <v>17.07</v>
      </c>
      <c r="J43" s="4">
        <f t="shared" si="12"/>
        <v>0.53980079659074243</v>
      </c>
      <c r="K43" s="5">
        <f t="shared" si="13"/>
        <v>8.1318487555254571</v>
      </c>
      <c r="L43" s="5">
        <f t="shared" si="14"/>
        <v>8.0823232519040271</v>
      </c>
      <c r="M43" s="5">
        <f t="shared" si="15"/>
        <v>8.1819455526838816</v>
      </c>
      <c r="N43" s="5">
        <f t="shared" si="16"/>
        <v>4.9525503621429934E-2</v>
      </c>
      <c r="O43" s="5">
        <f t="shared" si="17"/>
        <v>5.0096797158424522E-2</v>
      </c>
    </row>
    <row r="44" spans="1:15" ht="15.6" customHeight="1" x14ac:dyDescent="0.3">
      <c r="A44" s="1">
        <v>3</v>
      </c>
      <c r="B44" s="1">
        <v>200</v>
      </c>
      <c r="C44" s="1">
        <v>1000</v>
      </c>
      <c r="D44" s="2">
        <v>0.1</v>
      </c>
      <c r="E44" s="1">
        <v>12</v>
      </c>
      <c r="F44" s="2">
        <v>0</v>
      </c>
      <c r="G44" s="2">
        <v>86.69</v>
      </c>
      <c r="H44" s="2">
        <v>16.28</v>
      </c>
      <c r="J44" s="4">
        <f t="shared" si="12"/>
        <v>0.51481880307541217</v>
      </c>
      <c r="K44" s="5">
        <f t="shared" si="13"/>
        <v>8.401822474321909</v>
      </c>
      <c r="L44" s="5">
        <f t="shared" si="14"/>
        <v>8.3515638697067089</v>
      </c>
      <c r="M44" s="5">
        <f t="shared" si="15"/>
        <v>8.4526695114629398</v>
      </c>
      <c r="N44" s="5">
        <f t="shared" si="16"/>
        <v>5.0258604615200042E-2</v>
      </c>
      <c r="O44" s="5">
        <f t="shared" si="17"/>
        <v>5.0847037141030782E-2</v>
      </c>
    </row>
    <row r="45" spans="1:15" ht="15.6" customHeight="1" x14ac:dyDescent="0.3">
      <c r="A45" s="1">
        <v>3</v>
      </c>
      <c r="B45" s="1">
        <v>200</v>
      </c>
      <c r="C45" s="1">
        <v>1000</v>
      </c>
      <c r="D45" s="2">
        <v>0.1</v>
      </c>
      <c r="E45" s="1">
        <v>13</v>
      </c>
      <c r="F45" s="2">
        <v>0</v>
      </c>
      <c r="G45" s="2">
        <v>82.89</v>
      </c>
      <c r="H45" s="2">
        <v>17.32</v>
      </c>
      <c r="J45" s="4">
        <f t="shared" si="12"/>
        <v>0.54770649074116329</v>
      </c>
      <c r="K45" s="5">
        <f t="shared" si="13"/>
        <v>8.5964911074746979</v>
      </c>
      <c r="L45" s="5">
        <f t="shared" si="14"/>
        <v>8.5406069220274503</v>
      </c>
      <c r="M45" s="5">
        <f t="shared" si="15"/>
        <v>8.6531037842296286</v>
      </c>
      <c r="N45" s="5">
        <f t="shared" si="16"/>
        <v>5.5884185447247603E-2</v>
      </c>
      <c r="O45" s="5">
        <f t="shared" si="17"/>
        <v>5.6612676754930646E-2</v>
      </c>
    </row>
    <row r="46" spans="1:15" ht="15.6" customHeight="1" x14ac:dyDescent="0.3">
      <c r="A46" s="1">
        <v>3</v>
      </c>
      <c r="B46" s="1">
        <v>200</v>
      </c>
      <c r="C46" s="1">
        <v>1000</v>
      </c>
      <c r="D46" s="2">
        <v>0.1</v>
      </c>
      <c r="E46" s="1">
        <v>14</v>
      </c>
      <c r="F46" s="2">
        <v>0</v>
      </c>
      <c r="G46" s="2">
        <v>79.010000000000005</v>
      </c>
      <c r="H46" s="2">
        <v>16.48</v>
      </c>
      <c r="J46" s="4">
        <f t="shared" si="12"/>
        <v>0.52114335839574899</v>
      </c>
      <c r="K46" s="5">
        <f t="shared" si="13"/>
        <v>8.8046918858722361</v>
      </c>
      <c r="L46" s="5">
        <f t="shared" si="14"/>
        <v>8.7489061385835871</v>
      </c>
      <c r="M46" s="5">
        <f t="shared" si="15"/>
        <v>8.8612035435970657</v>
      </c>
      <c r="N46" s="5">
        <f t="shared" si="16"/>
        <v>5.5785747288648935E-2</v>
      </c>
      <c r="O46" s="5">
        <f t="shared" si="17"/>
        <v>5.6511657724829689E-2</v>
      </c>
    </row>
    <row r="47" spans="1:15" ht="15.6" customHeight="1" x14ac:dyDescent="0.3">
      <c r="A47" s="1">
        <v>3</v>
      </c>
      <c r="B47" s="1">
        <v>200</v>
      </c>
      <c r="C47" s="1">
        <v>1000</v>
      </c>
      <c r="D47" s="2">
        <v>0.1</v>
      </c>
      <c r="E47" s="1">
        <v>15</v>
      </c>
      <c r="F47" s="2">
        <v>0</v>
      </c>
      <c r="G47" s="2">
        <v>76.95</v>
      </c>
      <c r="H47" s="2">
        <v>16.489999999999998</v>
      </c>
      <c r="J47" s="4">
        <f t="shared" si="12"/>
        <v>0.52145958616176569</v>
      </c>
      <c r="K47" s="5">
        <f t="shared" si="13"/>
        <v>8.9194262621614602</v>
      </c>
      <c r="L47" s="5">
        <f t="shared" si="14"/>
        <v>8.8621223767880348</v>
      </c>
      <c r="M47" s="5">
        <f t="shared" si="15"/>
        <v>8.9774963769633906</v>
      </c>
      <c r="N47" s="5">
        <f t="shared" si="16"/>
        <v>5.7303885373425345E-2</v>
      </c>
      <c r="O47" s="5">
        <f t="shared" si="17"/>
        <v>5.8070114801930472E-2</v>
      </c>
    </row>
    <row r="48" spans="1:15" ht="15.6" customHeight="1" x14ac:dyDescent="0.3">
      <c r="A48" s="1">
        <v>3</v>
      </c>
      <c r="B48" s="1">
        <v>200</v>
      </c>
      <c r="C48" s="1">
        <v>1000</v>
      </c>
      <c r="D48" s="2">
        <v>0.1</v>
      </c>
      <c r="E48" s="1">
        <v>16</v>
      </c>
      <c r="F48" s="2">
        <v>0</v>
      </c>
      <c r="G48" s="2">
        <v>73.8</v>
      </c>
      <c r="H48" s="2">
        <v>16.489999999999998</v>
      </c>
      <c r="J48" s="4">
        <f t="shared" si="12"/>
        <v>0.52145958616176569</v>
      </c>
      <c r="K48" s="5">
        <f t="shared" si="13"/>
        <v>9.1009488856060212</v>
      </c>
      <c r="L48" s="5">
        <f t="shared" si="14"/>
        <v>9.0412158478779752</v>
      </c>
      <c r="M48" s="5">
        <f t="shared" si="15"/>
        <v>9.1615149649408743</v>
      </c>
      <c r="N48" s="5">
        <f t="shared" si="16"/>
        <v>5.9733037728046057E-2</v>
      </c>
      <c r="O48" s="5">
        <f t="shared" si="17"/>
        <v>6.0566079334853029E-2</v>
      </c>
    </row>
    <row r="49" spans="1:15" ht="15.6" customHeight="1" x14ac:dyDescent="0.3">
      <c r="A49" s="1">
        <v>3</v>
      </c>
      <c r="B49" s="1">
        <v>200</v>
      </c>
      <c r="C49" s="1">
        <v>1000</v>
      </c>
      <c r="D49" s="2">
        <v>0.1</v>
      </c>
      <c r="E49" s="1">
        <v>17</v>
      </c>
      <c r="F49" s="2">
        <v>0</v>
      </c>
      <c r="G49" s="2">
        <v>73.08</v>
      </c>
      <c r="H49" s="2">
        <v>17.93</v>
      </c>
      <c r="J49" s="4">
        <f t="shared" si="12"/>
        <v>0.56699638446819045</v>
      </c>
      <c r="K49" s="5">
        <f t="shared" si="13"/>
        <v>9.1435271170314341</v>
      </c>
      <c r="L49" s="5">
        <f t="shared" si="14"/>
        <v>9.0779819381854683</v>
      </c>
      <c r="M49" s="5">
        <f t="shared" si="15"/>
        <v>9.2100767039052638</v>
      </c>
      <c r="N49" s="5">
        <f t="shared" si="16"/>
        <v>6.5545178845965779E-2</v>
      </c>
      <c r="O49" s="5">
        <f t="shared" si="17"/>
        <v>6.6549586873829725E-2</v>
      </c>
    </row>
    <row r="50" spans="1:15" ht="15.6" customHeight="1" x14ac:dyDescent="0.3">
      <c r="A50" s="1">
        <v>3</v>
      </c>
      <c r="B50" s="1">
        <v>200</v>
      </c>
      <c r="C50" s="1">
        <v>1000</v>
      </c>
      <c r="D50" s="2">
        <v>0.1</v>
      </c>
      <c r="E50" s="1">
        <v>18</v>
      </c>
      <c r="F50" s="2">
        <v>0</v>
      </c>
      <c r="G50" s="2">
        <v>70.66</v>
      </c>
      <c r="H50" s="2">
        <v>17.79</v>
      </c>
      <c r="J50" s="4">
        <f t="shared" si="12"/>
        <v>0.5625691957439547</v>
      </c>
      <c r="K50" s="5">
        <f t="shared" si="13"/>
        <v>9.2897761728481694</v>
      </c>
      <c r="L50" s="5">
        <f t="shared" si="14"/>
        <v>9.2225286973736083</v>
      </c>
      <c r="M50" s="5">
        <f t="shared" si="15"/>
        <v>9.3580813275303711</v>
      </c>
      <c r="N50" s="5">
        <f t="shared" si="16"/>
        <v>6.7247475474561114E-2</v>
      </c>
      <c r="O50" s="5">
        <f t="shared" si="17"/>
        <v>6.8305154682201774E-2</v>
      </c>
    </row>
    <row r="51" spans="1:15" ht="15.6" customHeight="1" x14ac:dyDescent="0.3">
      <c r="A51" s="1">
        <v>3</v>
      </c>
      <c r="B51" s="1">
        <v>200</v>
      </c>
      <c r="C51" s="1">
        <v>1000</v>
      </c>
      <c r="D51" s="2">
        <v>0.1</v>
      </c>
      <c r="E51" s="1">
        <v>19</v>
      </c>
      <c r="F51" s="2">
        <v>0</v>
      </c>
      <c r="G51" s="2">
        <v>69.430000000000007</v>
      </c>
      <c r="H51" s="2">
        <v>17.54</v>
      </c>
      <c r="J51" s="4">
        <f t="shared" si="12"/>
        <v>0.55466350159353373</v>
      </c>
      <c r="K51" s="5">
        <f t="shared" si="13"/>
        <v>9.3660408512709026</v>
      </c>
      <c r="L51" s="5">
        <f t="shared" si="14"/>
        <v>9.2985655745212963</v>
      </c>
      <c r="M51" s="5">
        <f t="shared" si="15"/>
        <v>9.4345810420440586</v>
      </c>
      <c r="N51" s="5">
        <f t="shared" si="16"/>
        <v>6.7475276749606294E-2</v>
      </c>
      <c r="O51" s="5">
        <f t="shared" si="17"/>
        <v>6.8540190773155985E-2</v>
      </c>
    </row>
    <row r="52" spans="1:15" ht="15.6" customHeight="1" x14ac:dyDescent="0.3">
      <c r="A52" s="1">
        <v>3</v>
      </c>
      <c r="B52" s="1">
        <v>200</v>
      </c>
      <c r="C52" s="1">
        <v>1000</v>
      </c>
      <c r="D52" s="2">
        <v>0.1</v>
      </c>
      <c r="E52" s="1">
        <v>20</v>
      </c>
      <c r="F52" s="2">
        <v>0</v>
      </c>
      <c r="G52" s="2">
        <v>69.72</v>
      </c>
      <c r="H52" s="2">
        <v>18.260000000000002</v>
      </c>
      <c r="J52" s="4">
        <f t="shared" si="12"/>
        <v>0.57743190074674611</v>
      </c>
      <c r="K52" s="5">
        <f t="shared" si="13"/>
        <v>9.3479387194568808</v>
      </c>
      <c r="L52" s="5">
        <f t="shared" si="14"/>
        <v>9.2780056753344837</v>
      </c>
      <c r="M52" s="5">
        <f t="shared" si="15"/>
        <v>9.4190163286034583</v>
      </c>
      <c r="N52" s="5">
        <f t="shared" si="16"/>
        <v>6.9933044122397092E-2</v>
      </c>
      <c r="O52" s="5">
        <f t="shared" si="17"/>
        <v>7.1077609146577458E-2</v>
      </c>
    </row>
    <row r="53" spans="1:15" ht="15.6" customHeight="1" x14ac:dyDescent="0.3">
      <c r="A53" s="13" t="s">
        <v>17</v>
      </c>
      <c r="B53" s="7"/>
      <c r="C53" s="7"/>
      <c r="D53" s="8"/>
      <c r="E53" s="7"/>
      <c r="F53" s="8"/>
      <c r="G53" s="8"/>
      <c r="H53" s="8"/>
      <c r="I53" s="8"/>
      <c r="J53" s="9"/>
      <c r="K53" s="10"/>
      <c r="L53" s="10"/>
      <c r="M53" s="10"/>
      <c r="N53" s="10"/>
      <c r="O53" s="10"/>
    </row>
    <row r="54" spans="1:15" ht="15.6" customHeight="1" x14ac:dyDescent="0.3">
      <c r="A54" s="1">
        <v>4</v>
      </c>
      <c r="B54" s="1">
        <v>200</v>
      </c>
      <c r="C54" s="1">
        <v>1000</v>
      </c>
      <c r="D54" s="2">
        <v>0.1</v>
      </c>
      <c r="E54" s="1">
        <v>5</v>
      </c>
      <c r="F54" s="2">
        <v>0</v>
      </c>
      <c r="G54" s="2">
        <v>178.9</v>
      </c>
      <c r="H54" s="2">
        <v>25.31</v>
      </c>
      <c r="J54" s="4">
        <f t="shared" ref="J54:J69" si="18">H54/SQRT(C54)</f>
        <v>0.80037247578861681</v>
      </c>
      <c r="K54" s="5">
        <f t="shared" ref="K54:K69" si="19">-10*LOG10(G54/(B54*3))</f>
        <v>5.2554090981627057</v>
      </c>
      <c r="L54" s="5">
        <f t="shared" ref="L54:L69" si="20">-10*LOG10((G54+1.96*J54)/(B54*3))</f>
        <v>5.217492881425251</v>
      </c>
      <c r="M54" s="5">
        <f t="shared" ref="M54:M69" si="21">-10*LOG10((G54-1.96*J54)/(B54*3))</f>
        <v>5.2936592612958187</v>
      </c>
      <c r="N54" s="5">
        <f t="shared" ref="N54:N69" si="22">K54-L54</f>
        <v>3.7916216737454711E-2</v>
      </c>
      <c r="O54" s="5">
        <f t="shared" ref="O54:O69" si="23">M54-K54</f>
        <v>3.8250163133112913E-2</v>
      </c>
    </row>
    <row r="55" spans="1:15" ht="15.6" customHeight="1" x14ac:dyDescent="0.3">
      <c r="A55" s="3">
        <v>4</v>
      </c>
      <c r="B55" s="3">
        <v>200</v>
      </c>
      <c r="C55" s="3">
        <v>1000</v>
      </c>
      <c r="D55" s="4">
        <v>0.1</v>
      </c>
      <c r="E55" s="3">
        <v>6</v>
      </c>
      <c r="F55" s="4">
        <v>0</v>
      </c>
      <c r="G55" s="4">
        <v>135.66</v>
      </c>
      <c r="H55" s="4">
        <v>27.49</v>
      </c>
      <c r="I55" s="4"/>
      <c r="J55" s="4">
        <f t="shared" si="18"/>
        <v>0.86931012878028746</v>
      </c>
      <c r="K55" s="5">
        <f t="shared" si="19"/>
        <v>6.4569943765464028</v>
      </c>
      <c r="L55" s="5">
        <f t="shared" si="20"/>
        <v>6.4027880255181735</v>
      </c>
      <c r="M55" s="5">
        <f t="shared" si="21"/>
        <v>6.511885863222437</v>
      </c>
      <c r="N55" s="5">
        <f t="shared" si="22"/>
        <v>5.4206351028229349E-2</v>
      </c>
      <c r="O55" s="5">
        <f t="shared" si="23"/>
        <v>5.4891486676034162E-2</v>
      </c>
    </row>
    <row r="56" spans="1:15" ht="15.6" customHeight="1" x14ac:dyDescent="0.3">
      <c r="A56" s="3">
        <v>4</v>
      </c>
      <c r="B56" s="3">
        <v>200</v>
      </c>
      <c r="C56" s="3">
        <v>1000</v>
      </c>
      <c r="D56" s="4">
        <v>0.1</v>
      </c>
      <c r="E56" s="3">
        <v>7</v>
      </c>
      <c r="F56" s="4">
        <v>0</v>
      </c>
      <c r="G56" s="4">
        <v>113.02</v>
      </c>
      <c r="H56" s="4">
        <v>31.35</v>
      </c>
      <c r="I56" s="4"/>
      <c r="J56" s="4">
        <f t="shared" si="18"/>
        <v>0.99137404646278704</v>
      </c>
      <c r="K56" s="5">
        <f t="shared" si="19"/>
        <v>7.2499594742176416</v>
      </c>
      <c r="L56" s="5">
        <f t="shared" si="20"/>
        <v>7.1759281022196086</v>
      </c>
      <c r="M56" s="5">
        <f t="shared" si="21"/>
        <v>7.3252747282772956</v>
      </c>
      <c r="N56" s="5">
        <f t="shared" si="22"/>
        <v>7.4031371998033002E-2</v>
      </c>
      <c r="O56" s="5">
        <f t="shared" si="23"/>
        <v>7.5315254059654002E-2</v>
      </c>
    </row>
    <row r="57" spans="1:15" ht="15.6" customHeight="1" x14ac:dyDescent="0.3">
      <c r="A57" s="3">
        <v>4</v>
      </c>
      <c r="B57" s="3">
        <v>200</v>
      </c>
      <c r="C57" s="3">
        <v>1000</v>
      </c>
      <c r="D57" s="4">
        <v>0.1</v>
      </c>
      <c r="E57" s="3">
        <v>8</v>
      </c>
      <c r="F57" s="4">
        <v>0</v>
      </c>
      <c r="G57" s="4">
        <v>97.05</v>
      </c>
      <c r="H57" s="4">
        <v>32.869999999999997</v>
      </c>
      <c r="I57" s="4"/>
      <c r="J57" s="4">
        <f t="shared" si="18"/>
        <v>1.0394406668973462</v>
      </c>
      <c r="K57" s="5">
        <f t="shared" si="19"/>
        <v>7.9115571065926202</v>
      </c>
      <c r="L57" s="5">
        <f t="shared" si="20"/>
        <v>7.821332395227917</v>
      </c>
      <c r="M57" s="5">
        <f t="shared" si="21"/>
        <v>8.0036960760514688</v>
      </c>
      <c r="N57" s="5">
        <f t="shared" si="22"/>
        <v>9.0224711364703225E-2</v>
      </c>
      <c r="O57" s="5">
        <f t="shared" si="23"/>
        <v>9.2138969458848585E-2</v>
      </c>
    </row>
    <row r="58" spans="1:15" ht="15.6" customHeight="1" x14ac:dyDescent="0.3">
      <c r="A58" s="3">
        <v>4</v>
      </c>
      <c r="B58" s="3">
        <v>200</v>
      </c>
      <c r="C58" s="3">
        <v>1000</v>
      </c>
      <c r="D58" s="4">
        <v>0.1</v>
      </c>
      <c r="E58" s="3">
        <v>9</v>
      </c>
      <c r="F58" s="4">
        <v>0</v>
      </c>
      <c r="G58" s="4">
        <v>87.28</v>
      </c>
      <c r="H58" s="4">
        <v>32.71</v>
      </c>
      <c r="I58" s="4"/>
      <c r="J58" s="4">
        <f t="shared" si="18"/>
        <v>1.034381022641077</v>
      </c>
      <c r="K58" s="5">
        <f t="shared" si="19"/>
        <v>8.3723651280335822</v>
      </c>
      <c r="L58" s="5">
        <f t="shared" si="20"/>
        <v>8.2726386858688112</v>
      </c>
      <c r="M58" s="5">
        <f t="shared" si="21"/>
        <v>8.4744355035493708</v>
      </c>
      <c r="N58" s="5">
        <f t="shared" si="22"/>
        <v>9.9726442164771001E-2</v>
      </c>
      <c r="O58" s="5">
        <f t="shared" si="23"/>
        <v>0.10207037551578857</v>
      </c>
    </row>
    <row r="59" spans="1:15" ht="15.6" customHeight="1" x14ac:dyDescent="0.3">
      <c r="A59" s="3">
        <v>4</v>
      </c>
      <c r="B59" s="3">
        <v>200</v>
      </c>
      <c r="C59" s="3">
        <v>1000</v>
      </c>
      <c r="D59" s="4">
        <v>0.1</v>
      </c>
      <c r="E59" s="3">
        <v>10</v>
      </c>
      <c r="F59" s="4">
        <v>0</v>
      </c>
      <c r="G59" s="4">
        <v>81.86</v>
      </c>
      <c r="H59" s="4">
        <v>38.270000000000003</v>
      </c>
      <c r="I59" s="4"/>
      <c r="J59" s="4">
        <f t="shared" si="18"/>
        <v>1.2102036605464388</v>
      </c>
      <c r="K59" s="5">
        <f t="shared" si="19"/>
        <v>8.6507951007439292</v>
      </c>
      <c r="L59" s="5">
        <f t="shared" si="20"/>
        <v>8.5267414196060223</v>
      </c>
      <c r="M59" s="5">
        <f t="shared" si="21"/>
        <v>8.7784967604988768</v>
      </c>
      <c r="N59" s="5">
        <f t="shared" si="22"/>
        <v>0.12405368113790693</v>
      </c>
      <c r="O59" s="5">
        <f t="shared" si="23"/>
        <v>0.12770165975494763</v>
      </c>
    </row>
    <row r="60" spans="1:15" ht="15.6" customHeight="1" x14ac:dyDescent="0.3">
      <c r="A60" s="3">
        <v>4</v>
      </c>
      <c r="B60" s="3">
        <v>200</v>
      </c>
      <c r="C60" s="3">
        <v>1000</v>
      </c>
      <c r="D60" s="4">
        <v>0.1</v>
      </c>
      <c r="E60" s="3">
        <v>11</v>
      </c>
      <c r="F60" s="4">
        <v>0</v>
      </c>
      <c r="G60" s="4">
        <v>78.099999999999994</v>
      </c>
      <c r="H60" s="4">
        <v>40.25</v>
      </c>
      <c r="I60" s="4"/>
      <c r="J60" s="4">
        <f t="shared" si="18"/>
        <v>1.2728167582177727</v>
      </c>
      <c r="K60" s="5">
        <f t="shared" si="19"/>
        <v>8.8550021650634338</v>
      </c>
      <c r="L60" s="5">
        <f t="shared" si="20"/>
        <v>8.7184465501145976</v>
      </c>
      <c r="M60" s="5">
        <f t="shared" si="21"/>
        <v>8.9959912912372442</v>
      </c>
      <c r="N60" s="5">
        <f t="shared" si="22"/>
        <v>0.13655561494883628</v>
      </c>
      <c r="O60" s="5">
        <f t="shared" si="23"/>
        <v>0.14098912617381032</v>
      </c>
    </row>
    <row r="61" spans="1:15" ht="15.6" customHeight="1" x14ac:dyDescent="0.3">
      <c r="A61" s="3">
        <v>4</v>
      </c>
      <c r="B61" s="3">
        <v>200</v>
      </c>
      <c r="C61" s="3">
        <v>1000</v>
      </c>
      <c r="D61" s="4">
        <v>0.1</v>
      </c>
      <c r="E61" s="3">
        <v>12</v>
      </c>
      <c r="F61" s="4">
        <v>0</v>
      </c>
      <c r="G61" s="4">
        <v>74.84</v>
      </c>
      <c r="H61" s="4">
        <v>41.44</v>
      </c>
      <c r="I61" s="4"/>
      <c r="J61" s="4">
        <f t="shared" si="18"/>
        <v>1.3104478623737763</v>
      </c>
      <c r="K61" s="5">
        <f t="shared" si="19"/>
        <v>9.0401747155567129</v>
      </c>
      <c r="L61" s="5">
        <f t="shared" si="20"/>
        <v>8.8936272297485743</v>
      </c>
      <c r="M61" s="5">
        <f t="shared" si="21"/>
        <v>9.1918404841718342</v>
      </c>
      <c r="N61" s="5">
        <f t="shared" si="22"/>
        <v>0.14654748580813859</v>
      </c>
      <c r="O61" s="5">
        <f t="shared" si="23"/>
        <v>0.15166576861512127</v>
      </c>
    </row>
    <row r="62" spans="1:15" ht="15.6" customHeight="1" x14ac:dyDescent="0.3">
      <c r="A62" s="3">
        <v>4</v>
      </c>
      <c r="B62" s="3">
        <v>200</v>
      </c>
      <c r="C62" s="3">
        <v>1000</v>
      </c>
      <c r="D62" s="4">
        <v>0.1</v>
      </c>
      <c r="E62" s="3">
        <v>13</v>
      </c>
      <c r="F62" s="4">
        <v>0</v>
      </c>
      <c r="G62" s="4">
        <v>70.89</v>
      </c>
      <c r="H62" s="4">
        <v>40.78</v>
      </c>
      <c r="I62" s="4"/>
      <c r="J62" s="4">
        <f t="shared" si="18"/>
        <v>1.2895768298166652</v>
      </c>
      <c r="K62" s="5">
        <f t="shared" si="19"/>
        <v>9.2756627403161218</v>
      </c>
      <c r="L62" s="5">
        <f t="shared" si="20"/>
        <v>9.1235124093699671</v>
      </c>
      <c r="M62" s="5">
        <f t="shared" si="21"/>
        <v>9.4333376242395079</v>
      </c>
      <c r="N62" s="5">
        <f t="shared" si="22"/>
        <v>0.15215033094615471</v>
      </c>
      <c r="O62" s="5">
        <f t="shared" si="23"/>
        <v>0.15767488392338613</v>
      </c>
    </row>
    <row r="63" spans="1:15" ht="15.6" customHeight="1" x14ac:dyDescent="0.3">
      <c r="A63" s="3">
        <v>4</v>
      </c>
      <c r="B63" s="3">
        <v>200</v>
      </c>
      <c r="C63" s="3">
        <v>1000</v>
      </c>
      <c r="D63" s="4">
        <v>0.1</v>
      </c>
      <c r="E63" s="3">
        <v>14</v>
      </c>
      <c r="F63" s="4">
        <v>0</v>
      </c>
      <c r="G63" s="4">
        <v>72.77</v>
      </c>
      <c r="H63" s="4">
        <v>45.2</v>
      </c>
      <c r="I63" s="4"/>
      <c r="J63" s="4">
        <f t="shared" si="18"/>
        <v>1.4293495023961076</v>
      </c>
      <c r="K63" s="5">
        <f t="shared" si="19"/>
        <v>9.1619887546219196</v>
      </c>
      <c r="L63" s="5">
        <f t="shared" si="20"/>
        <v>8.9979306406466808</v>
      </c>
      <c r="M63" s="5">
        <f t="shared" si="21"/>
        <v>9.3324884220007469</v>
      </c>
      <c r="N63" s="5">
        <f t="shared" si="22"/>
        <v>0.16405811397523884</v>
      </c>
      <c r="O63" s="5">
        <f t="shared" si="23"/>
        <v>0.17049966737882727</v>
      </c>
    </row>
    <row r="64" spans="1:15" ht="15.6" customHeight="1" x14ac:dyDescent="0.3">
      <c r="A64" s="3">
        <v>4</v>
      </c>
      <c r="B64" s="3">
        <v>200</v>
      </c>
      <c r="C64" s="3">
        <v>1000</v>
      </c>
      <c r="D64" s="4">
        <v>0.1</v>
      </c>
      <c r="E64" s="3">
        <v>15</v>
      </c>
      <c r="F64" s="4">
        <v>0</v>
      </c>
      <c r="G64" s="4">
        <v>68.56</v>
      </c>
      <c r="H64" s="4">
        <v>44.61</v>
      </c>
      <c r="I64" s="4"/>
      <c r="J64" s="4">
        <f t="shared" si="18"/>
        <v>1.410692064201114</v>
      </c>
      <c r="K64" s="5">
        <f t="shared" si="19"/>
        <v>9.4208044146850192</v>
      </c>
      <c r="L64" s="5">
        <f t="shared" si="20"/>
        <v>9.2490973525382376</v>
      </c>
      <c r="M64" s="5">
        <f t="shared" si="21"/>
        <v>9.5995807163521079</v>
      </c>
      <c r="N64" s="5">
        <f t="shared" si="22"/>
        <v>0.17170706214678155</v>
      </c>
      <c r="O64" s="5">
        <f t="shared" si="23"/>
        <v>0.17877630166708869</v>
      </c>
    </row>
    <row r="65" spans="1:15" ht="15.6" customHeight="1" x14ac:dyDescent="0.3">
      <c r="A65" s="3">
        <v>4</v>
      </c>
      <c r="B65" s="3">
        <v>200</v>
      </c>
      <c r="C65" s="3">
        <v>1000</v>
      </c>
      <c r="D65" s="4">
        <v>0.1</v>
      </c>
      <c r="E65" s="3">
        <v>16</v>
      </c>
      <c r="F65" s="3">
        <v>0</v>
      </c>
      <c r="G65" s="4">
        <v>70.16</v>
      </c>
      <c r="H65" s="4">
        <v>49.82</v>
      </c>
      <c r="I65" s="4"/>
      <c r="J65" s="4">
        <f t="shared" si="18"/>
        <v>1.5754467302958866</v>
      </c>
      <c r="K65" s="5">
        <f t="shared" si="19"/>
        <v>9.3206167002565952</v>
      </c>
      <c r="L65" s="5">
        <f t="shared" si="20"/>
        <v>9.1335621702057139</v>
      </c>
      <c r="M65" s="5">
        <f t="shared" si="21"/>
        <v>9.5160918820089329</v>
      </c>
      <c r="N65" s="5">
        <f t="shared" si="22"/>
        <v>0.18705453005088124</v>
      </c>
      <c r="O65" s="5">
        <f t="shared" si="23"/>
        <v>0.19547518175233769</v>
      </c>
    </row>
    <row r="66" spans="1:15" ht="15.6" customHeight="1" x14ac:dyDescent="0.3">
      <c r="A66" s="3">
        <v>4</v>
      </c>
      <c r="B66" s="3">
        <v>200</v>
      </c>
      <c r="C66" s="3">
        <v>1000</v>
      </c>
      <c r="D66" s="4">
        <v>0.1</v>
      </c>
      <c r="E66" s="3">
        <v>17</v>
      </c>
      <c r="F66" s="4">
        <v>0</v>
      </c>
      <c r="G66" s="4">
        <v>70.569999999999993</v>
      </c>
      <c r="H66" s="4">
        <v>52.34</v>
      </c>
      <c r="I66" s="4"/>
      <c r="J66" s="4">
        <f t="shared" si="18"/>
        <v>1.6551361273321299</v>
      </c>
      <c r="K66" s="5">
        <f t="shared" si="19"/>
        <v>9.2953113294950978</v>
      </c>
      <c r="L66" s="5">
        <f t="shared" si="20"/>
        <v>9.1001211680415377</v>
      </c>
      <c r="M66" s="5">
        <f t="shared" si="21"/>
        <v>9.4996886859500655</v>
      </c>
      <c r="N66" s="5">
        <f t="shared" si="22"/>
        <v>0.19519016145356005</v>
      </c>
      <c r="O66" s="5">
        <f t="shared" si="23"/>
        <v>0.2043773564549678</v>
      </c>
    </row>
    <row r="67" spans="1:15" ht="15.6" customHeight="1" x14ac:dyDescent="0.3">
      <c r="A67" s="3">
        <v>4</v>
      </c>
      <c r="B67" s="3">
        <v>200</v>
      </c>
      <c r="C67" s="3">
        <v>1000</v>
      </c>
      <c r="D67" s="4">
        <v>0.1</v>
      </c>
      <c r="E67" s="3">
        <v>18</v>
      </c>
      <c r="F67" s="4">
        <v>0</v>
      </c>
      <c r="G67" s="4">
        <v>70.34</v>
      </c>
      <c r="H67" s="4">
        <v>53.87</v>
      </c>
      <c r="I67" s="4"/>
      <c r="J67" s="4">
        <f t="shared" si="18"/>
        <v>1.7035189755327058</v>
      </c>
      <c r="K67" s="5">
        <f t="shared" si="19"/>
        <v>9.3094888640271982</v>
      </c>
      <c r="L67" s="5">
        <f t="shared" si="20"/>
        <v>9.1080813356122174</v>
      </c>
      <c r="M67" s="5">
        <f t="shared" si="21"/>
        <v>9.5206929933254507</v>
      </c>
      <c r="N67" s="5">
        <f t="shared" si="22"/>
        <v>0.20140752841498077</v>
      </c>
      <c r="O67" s="5">
        <f t="shared" si="23"/>
        <v>0.2112041292982525</v>
      </c>
    </row>
    <row r="68" spans="1:15" ht="15.6" customHeight="1" x14ac:dyDescent="0.3">
      <c r="A68" s="3">
        <v>4</v>
      </c>
      <c r="B68" s="3">
        <v>200</v>
      </c>
      <c r="C68" s="3">
        <v>1000</v>
      </c>
      <c r="D68" s="4">
        <v>0.1</v>
      </c>
      <c r="E68" s="3">
        <v>19</v>
      </c>
      <c r="F68" s="4">
        <v>0</v>
      </c>
      <c r="G68" s="4">
        <v>76.56</v>
      </c>
      <c r="H68" s="4">
        <v>60.44</v>
      </c>
      <c r="I68" s="4"/>
      <c r="J68" s="4">
        <f t="shared" si="18"/>
        <v>1.9112806178057684</v>
      </c>
      <c r="K68" s="5">
        <f t="shared" si="19"/>
        <v>8.9414932561485649</v>
      </c>
      <c r="L68" s="5">
        <f t="shared" si="20"/>
        <v>8.7340266098205817</v>
      </c>
      <c r="M68" s="5">
        <f t="shared" si="21"/>
        <v>9.1593701708409618</v>
      </c>
      <c r="N68" s="5">
        <f t="shared" si="22"/>
        <v>0.20746664632798328</v>
      </c>
      <c r="O68" s="5">
        <f t="shared" si="23"/>
        <v>0.21787691469239689</v>
      </c>
    </row>
    <row r="69" spans="1:15" ht="15.6" customHeight="1" x14ac:dyDescent="0.3">
      <c r="A69" s="3">
        <v>4</v>
      </c>
      <c r="B69" s="3">
        <v>200</v>
      </c>
      <c r="C69" s="3">
        <v>1000</v>
      </c>
      <c r="D69" s="4">
        <v>0.1</v>
      </c>
      <c r="E69" s="3">
        <v>20</v>
      </c>
      <c r="F69" s="4">
        <v>0</v>
      </c>
      <c r="G69" s="4">
        <v>79.7</v>
      </c>
      <c r="H69" s="4">
        <v>64.37</v>
      </c>
      <c r="I69" s="4"/>
      <c r="J69" s="4">
        <f t="shared" si="18"/>
        <v>2.035558129850386</v>
      </c>
      <c r="K69" s="5">
        <f t="shared" si="19"/>
        <v>8.7669292898753124</v>
      </c>
      <c r="L69" s="5">
        <f t="shared" si="20"/>
        <v>8.5547927080084367</v>
      </c>
      <c r="M69" s="5">
        <f t="shared" si="21"/>
        <v>8.9899624852265543</v>
      </c>
      <c r="N69" s="5">
        <f t="shared" si="22"/>
        <v>0.21213658186687567</v>
      </c>
      <c r="O69" s="5">
        <f t="shared" si="23"/>
        <v>0.22303319535124189</v>
      </c>
    </row>
    <row r="87" spans="10:15" ht="18.75" customHeight="1" x14ac:dyDescent="0.3">
      <c r="J87" s="4"/>
      <c r="K87" s="5"/>
      <c r="L87" s="5"/>
      <c r="M87" s="5"/>
      <c r="N87" s="5"/>
      <c r="O87" s="5"/>
    </row>
  </sheetData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39EBC0-93B8-481E-B75D-633E041274CE}">
  <sheetPr codeName="Sheet5">
    <outlinePr summaryBelow="0"/>
  </sheetPr>
  <dimension ref="A1:O107"/>
  <sheetViews>
    <sheetView zoomScale="115" zoomScaleNormal="115" workbookViewId="0">
      <pane ySplit="1" topLeftCell="A2" activePane="bottomLeft" state="frozen"/>
      <selection activeCell="I20" sqref="I20"/>
      <selection pane="bottomLeft" activeCell="A47" sqref="A47:H67"/>
    </sheetView>
  </sheetViews>
  <sheetFormatPr defaultRowHeight="14.4" x14ac:dyDescent="0.3"/>
  <cols>
    <col min="1" max="1" width="13.33203125" style="1" bestFit="1" customWidth="1"/>
    <col min="2" max="2" width="10.33203125" style="1" customWidth="1"/>
    <col min="3" max="3" width="10.77734375" style="1" customWidth="1"/>
    <col min="4" max="4" width="10.21875" style="2" customWidth="1"/>
    <col min="5" max="5" width="11.77734375" style="1" customWidth="1"/>
    <col min="6" max="6" width="9.44140625" style="2" customWidth="1"/>
    <col min="7" max="9" width="10" style="2" customWidth="1"/>
    <col min="10" max="10" width="9" style="2" customWidth="1"/>
    <col min="11" max="15" width="12.44140625" style="2" customWidth="1"/>
    <col min="16" max="16" width="12.44140625" customWidth="1"/>
  </cols>
  <sheetData>
    <row r="1" spans="1:15" s="6" customFormat="1" ht="15.6" customHeight="1" x14ac:dyDescent="0.3">
      <c r="A1" s="11" t="s">
        <v>14</v>
      </c>
      <c r="B1" s="11" t="s">
        <v>0</v>
      </c>
      <c r="C1" s="11" t="s">
        <v>1</v>
      </c>
      <c r="D1" s="12" t="s">
        <v>2</v>
      </c>
      <c r="E1" s="11" t="s">
        <v>3</v>
      </c>
      <c r="F1" s="12" t="s">
        <v>4</v>
      </c>
      <c r="G1" s="12" t="s">
        <v>5</v>
      </c>
      <c r="H1" s="12" t="s">
        <v>6</v>
      </c>
      <c r="I1" s="12"/>
      <c r="J1" s="12" t="s">
        <v>7</v>
      </c>
      <c r="K1" s="12" t="s">
        <v>8</v>
      </c>
      <c r="L1" s="12" t="s">
        <v>9</v>
      </c>
      <c r="M1" s="12" t="s">
        <v>10</v>
      </c>
      <c r="N1" s="12" t="s">
        <v>11</v>
      </c>
      <c r="O1" s="12" t="s">
        <v>12</v>
      </c>
    </row>
    <row r="2" spans="1:15" ht="15.6" customHeight="1" x14ac:dyDescent="0.3">
      <c r="A2" s="13" t="s">
        <v>13</v>
      </c>
      <c r="B2" s="7"/>
      <c r="C2" s="7"/>
      <c r="D2" s="8"/>
      <c r="E2" s="7"/>
      <c r="F2" s="8"/>
      <c r="G2" s="8"/>
      <c r="H2" s="8"/>
      <c r="I2" s="8"/>
      <c r="J2" s="9"/>
      <c r="K2" s="10"/>
      <c r="L2" s="10"/>
      <c r="M2" s="10"/>
      <c r="N2" s="10"/>
      <c r="O2" s="10"/>
    </row>
    <row r="3" spans="1:15" ht="15.6" customHeight="1" x14ac:dyDescent="0.3">
      <c r="A3" s="1">
        <v>1</v>
      </c>
      <c r="B3" s="1">
        <v>200</v>
      </c>
      <c r="C3" s="1">
        <v>1000</v>
      </c>
      <c r="D3" s="2">
        <v>0</v>
      </c>
      <c r="E3" s="1">
        <v>10</v>
      </c>
      <c r="F3" s="2">
        <v>0</v>
      </c>
      <c r="G3" s="2">
        <v>87.06</v>
      </c>
      <c r="H3" s="2">
        <v>65.83</v>
      </c>
      <c r="J3" s="4">
        <f t="shared" ref="J3:J23" si="0">H3/SQRT(C3)</f>
        <v>2.0817273836888441</v>
      </c>
      <c r="K3" s="5">
        <f t="shared" ref="K3:K23" si="1">-10*LOG10(G3/(B3*3))</f>
        <v>8.3833258756226421</v>
      </c>
      <c r="L3" s="5">
        <f t="shared" ref="L3:L23" si="2">-10*LOG10((G3+1.96*J3)/(B3*3))</f>
        <v>8.1844134138566655</v>
      </c>
      <c r="M3" s="5">
        <f t="shared" ref="M3:M23" si="3">-10*LOG10((G3-1.96*J3)/(B3*3))</f>
        <v>8.5917879164808078</v>
      </c>
      <c r="N3" s="5">
        <f t="shared" ref="N3:N23" si="4">K3-L3</f>
        <v>0.19891246176597654</v>
      </c>
      <c r="O3" s="5">
        <f t="shared" ref="O3:O23" si="5">M3-K3</f>
        <v>0.20846204085816566</v>
      </c>
    </row>
    <row r="4" spans="1:15" ht="15.6" customHeight="1" x14ac:dyDescent="0.3">
      <c r="A4" s="3">
        <v>1</v>
      </c>
      <c r="B4" s="3">
        <v>200</v>
      </c>
      <c r="C4" s="3">
        <v>1000</v>
      </c>
      <c r="D4" s="4">
        <v>0.01</v>
      </c>
      <c r="E4" s="3">
        <v>10</v>
      </c>
      <c r="F4" s="4">
        <v>0</v>
      </c>
      <c r="G4" s="4">
        <v>79.8</v>
      </c>
      <c r="H4" s="4">
        <v>57.35</v>
      </c>
      <c r="I4" s="4"/>
      <c r="J4" s="4">
        <f t="shared" si="0"/>
        <v>1.8135662381065656</v>
      </c>
      <c r="K4" s="5">
        <f t="shared" si="1"/>
        <v>8.7614835903291421</v>
      </c>
      <c r="L4" s="5">
        <f t="shared" si="2"/>
        <v>8.5722173162426927</v>
      </c>
      <c r="M4" s="5">
        <f t="shared" si="3"/>
        <v>8.9593754526842897</v>
      </c>
      <c r="N4" s="5">
        <f t="shared" si="4"/>
        <v>0.18926627408644947</v>
      </c>
      <c r="O4" s="5">
        <f t="shared" si="5"/>
        <v>0.19789186235514755</v>
      </c>
    </row>
    <row r="5" spans="1:15" ht="15.6" customHeight="1" x14ac:dyDescent="0.3">
      <c r="A5" s="3">
        <v>1</v>
      </c>
      <c r="B5" s="3">
        <v>200</v>
      </c>
      <c r="C5" s="3">
        <v>1000</v>
      </c>
      <c r="D5" s="4">
        <v>0.02</v>
      </c>
      <c r="E5" s="3">
        <v>10</v>
      </c>
      <c r="F5" s="4">
        <v>0</v>
      </c>
      <c r="G5" s="4">
        <v>80.27</v>
      </c>
      <c r="H5" s="4">
        <v>59.37</v>
      </c>
      <c r="I5" s="4"/>
      <c r="J5" s="4">
        <f t="shared" si="0"/>
        <v>1.8774442468419668</v>
      </c>
      <c r="K5" s="5">
        <f t="shared" si="1"/>
        <v>8.7359798740687093</v>
      </c>
      <c r="L5" s="5">
        <f t="shared" si="2"/>
        <v>8.5413163254933409</v>
      </c>
      <c r="M5" s="5">
        <f t="shared" si="3"/>
        <v>8.939779941856191</v>
      </c>
      <c r="N5" s="5">
        <f t="shared" si="4"/>
        <v>0.19466354857536849</v>
      </c>
      <c r="O5" s="5">
        <f t="shared" si="5"/>
        <v>0.20380006778748161</v>
      </c>
    </row>
    <row r="6" spans="1:15" ht="15.6" customHeight="1" x14ac:dyDescent="0.3">
      <c r="A6" s="3">
        <v>1</v>
      </c>
      <c r="B6" s="3">
        <v>200</v>
      </c>
      <c r="C6" s="3">
        <v>1000</v>
      </c>
      <c r="D6" s="4">
        <v>0.03</v>
      </c>
      <c r="E6" s="3">
        <v>10</v>
      </c>
      <c r="F6" s="4">
        <v>0</v>
      </c>
      <c r="G6" s="4">
        <v>78.45</v>
      </c>
      <c r="H6" s="4">
        <v>59.01</v>
      </c>
      <c r="I6" s="4"/>
      <c r="J6" s="4">
        <f t="shared" si="0"/>
        <v>1.8660600472653606</v>
      </c>
      <c r="K6" s="5">
        <f t="shared" si="1"/>
        <v>8.8355830246068816</v>
      </c>
      <c r="L6" s="5">
        <f t="shared" si="2"/>
        <v>8.6376853939371117</v>
      </c>
      <c r="M6" s="5">
        <f t="shared" si="3"/>
        <v>9.0429307074094325</v>
      </c>
      <c r="N6" s="5">
        <f t="shared" si="4"/>
        <v>0.19789763066976995</v>
      </c>
      <c r="O6" s="5">
        <f t="shared" si="5"/>
        <v>0.20734768280255089</v>
      </c>
    </row>
    <row r="7" spans="1:15" ht="15.6" customHeight="1" x14ac:dyDescent="0.3">
      <c r="A7" s="3">
        <v>1</v>
      </c>
      <c r="B7" s="3">
        <v>200</v>
      </c>
      <c r="C7" s="3">
        <v>1000</v>
      </c>
      <c r="D7" s="4">
        <v>0.04</v>
      </c>
      <c r="E7" s="3">
        <v>10</v>
      </c>
      <c r="F7" s="4">
        <v>0</v>
      </c>
      <c r="G7" s="4">
        <v>82.25</v>
      </c>
      <c r="H7" s="4">
        <v>63.9</v>
      </c>
      <c r="I7" s="4"/>
      <c r="J7" s="4">
        <f t="shared" si="0"/>
        <v>2.0206954248475943</v>
      </c>
      <c r="K7" s="5">
        <f t="shared" si="1"/>
        <v>8.6301534376163165</v>
      </c>
      <c r="L7" s="5">
        <f t="shared" si="2"/>
        <v>8.4259076894685485</v>
      </c>
      <c r="M7" s="5">
        <f t="shared" si="3"/>
        <v>8.844480806153225</v>
      </c>
      <c r="N7" s="5">
        <f t="shared" si="4"/>
        <v>0.20424574814776797</v>
      </c>
      <c r="O7" s="5">
        <f t="shared" si="5"/>
        <v>0.21432736853690848</v>
      </c>
    </row>
    <row r="8" spans="1:15" ht="15.6" customHeight="1" x14ac:dyDescent="0.3">
      <c r="A8" s="3">
        <v>1</v>
      </c>
      <c r="B8" s="3">
        <v>200</v>
      </c>
      <c r="C8" s="3">
        <v>1000</v>
      </c>
      <c r="D8" s="4">
        <v>0.05</v>
      </c>
      <c r="E8" s="3">
        <v>10</v>
      </c>
      <c r="F8" s="4">
        <v>0</v>
      </c>
      <c r="G8" s="4">
        <v>83.61</v>
      </c>
      <c r="H8" s="4">
        <v>66.8</v>
      </c>
      <c r="I8" s="4"/>
      <c r="J8" s="4">
        <f t="shared" si="0"/>
        <v>2.1124014769924773</v>
      </c>
      <c r="K8" s="5">
        <f t="shared" si="1"/>
        <v>8.5589302695067708</v>
      </c>
      <c r="L8" s="5">
        <f t="shared" si="2"/>
        <v>8.3490260635654199</v>
      </c>
      <c r="M8" s="5">
        <f t="shared" si="3"/>
        <v>8.7794971451562684</v>
      </c>
      <c r="N8" s="5">
        <f t="shared" si="4"/>
        <v>0.20990420594135095</v>
      </c>
      <c r="O8" s="5">
        <f t="shared" si="5"/>
        <v>0.22056687564949762</v>
      </c>
    </row>
    <row r="9" spans="1:15" ht="15.6" customHeight="1" x14ac:dyDescent="0.3">
      <c r="A9" s="3">
        <v>1</v>
      </c>
      <c r="B9" s="3">
        <v>200</v>
      </c>
      <c r="C9" s="3">
        <v>1000</v>
      </c>
      <c r="D9" s="4">
        <v>0.06</v>
      </c>
      <c r="E9" s="3">
        <v>10</v>
      </c>
      <c r="F9" s="4">
        <v>0</v>
      </c>
      <c r="G9" s="4">
        <v>88</v>
      </c>
      <c r="H9" s="4">
        <v>64.47</v>
      </c>
      <c r="I9" s="4"/>
      <c r="J9" s="4">
        <f t="shared" si="0"/>
        <v>2.0387204075105543</v>
      </c>
      <c r="K9" s="5">
        <f t="shared" si="1"/>
        <v>8.3366857823347491</v>
      </c>
      <c r="L9" s="5">
        <f t="shared" si="2"/>
        <v>8.1438281566982784</v>
      </c>
      <c r="M9" s="5">
        <f t="shared" si="3"/>
        <v>8.5385072576624275</v>
      </c>
      <c r="N9" s="5">
        <f t="shared" si="4"/>
        <v>0.19285762563647069</v>
      </c>
      <c r="O9" s="5">
        <f t="shared" si="5"/>
        <v>0.20182147532767836</v>
      </c>
    </row>
    <row r="10" spans="1:15" ht="15.6" customHeight="1" x14ac:dyDescent="0.3">
      <c r="A10" s="3">
        <v>1</v>
      </c>
      <c r="B10" s="3">
        <v>200</v>
      </c>
      <c r="C10" s="3">
        <v>1000</v>
      </c>
      <c r="D10" s="4">
        <v>7.0000000000000007E-2</v>
      </c>
      <c r="E10" s="3">
        <v>10</v>
      </c>
      <c r="F10" s="4">
        <v>0</v>
      </c>
      <c r="G10" s="4">
        <v>86.85</v>
      </c>
      <c r="H10" s="4">
        <v>63.61</v>
      </c>
      <c r="I10" s="4"/>
      <c r="J10" s="4">
        <f t="shared" si="0"/>
        <v>2.0115248196331059</v>
      </c>
      <c r="K10" s="5">
        <f t="shared" si="1"/>
        <v>8.3938142760052621</v>
      </c>
      <c r="L10" s="5">
        <f t="shared" si="2"/>
        <v>8.20100851656656</v>
      </c>
      <c r="M10" s="5">
        <f t="shared" si="3"/>
        <v>8.5955789515222154</v>
      </c>
      <c r="N10" s="5">
        <f t="shared" si="4"/>
        <v>0.19280575943870204</v>
      </c>
      <c r="O10" s="5">
        <f t="shared" si="5"/>
        <v>0.20176467551695332</v>
      </c>
    </row>
    <row r="11" spans="1:15" ht="15.6" customHeight="1" x14ac:dyDescent="0.3">
      <c r="A11" s="3">
        <v>1</v>
      </c>
      <c r="B11" s="3">
        <v>200</v>
      </c>
      <c r="C11" s="3">
        <v>1000</v>
      </c>
      <c r="D11" s="4">
        <v>0.08</v>
      </c>
      <c r="E11" s="3">
        <v>10</v>
      </c>
      <c r="F11" s="4">
        <v>0</v>
      </c>
      <c r="G11" s="4">
        <v>92.23</v>
      </c>
      <c r="H11" s="4">
        <v>63.28</v>
      </c>
      <c r="I11" s="4"/>
      <c r="J11" s="4">
        <f t="shared" si="0"/>
        <v>2.0010893033545507</v>
      </c>
      <c r="K11" s="5">
        <f t="shared" si="1"/>
        <v>8.1327904174586845</v>
      </c>
      <c r="L11" s="5">
        <f t="shared" si="2"/>
        <v>7.9519231829962873</v>
      </c>
      <c r="M11" s="5">
        <f t="shared" si="3"/>
        <v>8.3215186550400055</v>
      </c>
      <c r="N11" s="5">
        <f t="shared" si="4"/>
        <v>0.18086723446239716</v>
      </c>
      <c r="O11" s="5">
        <f t="shared" si="5"/>
        <v>0.18872823758132107</v>
      </c>
    </row>
    <row r="12" spans="1:15" ht="15.6" customHeight="1" x14ac:dyDescent="0.3">
      <c r="A12" s="3">
        <v>1</v>
      </c>
      <c r="B12" s="3">
        <v>200</v>
      </c>
      <c r="C12" s="3">
        <v>1000</v>
      </c>
      <c r="D12" s="4">
        <v>0.09</v>
      </c>
      <c r="E12" s="3">
        <v>10</v>
      </c>
      <c r="F12" s="4">
        <v>0</v>
      </c>
      <c r="G12" s="4">
        <v>96.94</v>
      </c>
      <c r="H12" s="4">
        <v>65.37</v>
      </c>
      <c r="I12" s="4"/>
      <c r="J12" s="4">
        <f t="shared" si="0"/>
        <v>2.0671809064520699</v>
      </c>
      <c r="K12" s="5">
        <f t="shared" si="1"/>
        <v>7.9164823499690318</v>
      </c>
      <c r="L12" s="5">
        <f t="shared" si="2"/>
        <v>7.7386567694209685</v>
      </c>
      <c r="M12" s="5">
        <f t="shared" si="3"/>
        <v>8.1019011682944626</v>
      </c>
      <c r="N12" s="5">
        <f t="shared" si="4"/>
        <v>0.1778255805480633</v>
      </c>
      <c r="O12" s="5">
        <f t="shared" si="5"/>
        <v>0.18541881832543083</v>
      </c>
    </row>
    <row r="13" spans="1:15" ht="15.6" customHeight="1" x14ac:dyDescent="0.3">
      <c r="A13" s="3">
        <v>1</v>
      </c>
      <c r="B13" s="3">
        <v>200</v>
      </c>
      <c r="C13" s="3">
        <v>1000</v>
      </c>
      <c r="D13" s="4">
        <v>0.1</v>
      </c>
      <c r="E13" s="3">
        <v>10</v>
      </c>
      <c r="F13" s="4">
        <v>0</v>
      </c>
      <c r="G13" s="4">
        <v>99.67</v>
      </c>
      <c r="H13" s="4">
        <v>63.99</v>
      </c>
      <c r="I13" s="4"/>
      <c r="J13" s="4">
        <f t="shared" si="0"/>
        <v>2.0235414747417462</v>
      </c>
      <c r="K13" s="5">
        <f t="shared" si="1"/>
        <v>7.7958679212270194</v>
      </c>
      <c r="L13" s="5">
        <f t="shared" si="2"/>
        <v>7.6264001596027953</v>
      </c>
      <c r="M13" s="5">
        <f t="shared" si="3"/>
        <v>7.9722180181827866</v>
      </c>
      <c r="N13" s="5">
        <f t="shared" si="4"/>
        <v>0.16946776162422417</v>
      </c>
      <c r="O13" s="5">
        <f t="shared" si="5"/>
        <v>0.1763500969557672</v>
      </c>
    </row>
    <row r="14" spans="1:15" ht="15.6" customHeight="1" x14ac:dyDescent="0.3">
      <c r="A14" s="3">
        <v>1</v>
      </c>
      <c r="B14" s="3">
        <v>200</v>
      </c>
      <c r="C14" s="3">
        <v>1000</v>
      </c>
      <c r="D14" s="4">
        <v>0.11</v>
      </c>
      <c r="E14" s="3">
        <v>10</v>
      </c>
      <c r="F14" s="4">
        <v>0</v>
      </c>
      <c r="G14" s="4">
        <v>107.2</v>
      </c>
      <c r="H14" s="4">
        <v>66.17</v>
      </c>
      <c r="I14" s="4"/>
      <c r="J14" s="4">
        <f t="shared" si="0"/>
        <v>2.0924791277334167</v>
      </c>
      <c r="K14" s="5">
        <f t="shared" si="1"/>
        <v>7.4795646502689239</v>
      </c>
      <c r="L14" s="5">
        <f t="shared" si="2"/>
        <v>7.3165117308486032</v>
      </c>
      <c r="M14" s="5">
        <f t="shared" si="3"/>
        <v>7.6489788887639731</v>
      </c>
      <c r="N14" s="5">
        <f t="shared" si="4"/>
        <v>0.16305291942032074</v>
      </c>
      <c r="O14" s="5">
        <f t="shared" si="5"/>
        <v>0.16941423849504922</v>
      </c>
    </row>
    <row r="15" spans="1:15" ht="15.6" customHeight="1" x14ac:dyDescent="0.3">
      <c r="A15" s="3">
        <v>1</v>
      </c>
      <c r="B15" s="3">
        <v>200</v>
      </c>
      <c r="C15" s="3">
        <v>1000</v>
      </c>
      <c r="D15" s="4">
        <v>0.12</v>
      </c>
      <c r="E15" s="3">
        <v>10</v>
      </c>
      <c r="F15" s="4">
        <v>0</v>
      </c>
      <c r="G15" s="4">
        <v>118.21</v>
      </c>
      <c r="H15" s="4">
        <v>66.37</v>
      </c>
      <c r="I15" s="4"/>
      <c r="J15" s="4">
        <f t="shared" si="0"/>
        <v>2.0988036830537538</v>
      </c>
      <c r="K15" s="5">
        <f t="shared" si="1"/>
        <v>7.0549703305060945</v>
      </c>
      <c r="L15" s="5">
        <f t="shared" si="2"/>
        <v>6.9064080039901041</v>
      </c>
      <c r="M15" s="5">
        <f t="shared" si="3"/>
        <v>7.2087951890825277</v>
      </c>
      <c r="N15" s="5">
        <f t="shared" si="4"/>
        <v>0.14856232651599033</v>
      </c>
      <c r="O15" s="5">
        <f t="shared" si="5"/>
        <v>0.15382485857643324</v>
      </c>
    </row>
    <row r="16" spans="1:15" ht="15.6" customHeight="1" x14ac:dyDescent="0.3">
      <c r="A16" s="3">
        <v>1</v>
      </c>
      <c r="B16" s="3">
        <v>200</v>
      </c>
      <c r="C16" s="3">
        <v>1000</v>
      </c>
      <c r="D16" s="4">
        <v>0.13</v>
      </c>
      <c r="E16" s="3">
        <v>10</v>
      </c>
      <c r="F16" s="4">
        <v>0</v>
      </c>
      <c r="G16" s="4">
        <v>122.81</v>
      </c>
      <c r="H16" s="4">
        <v>60.84</v>
      </c>
      <c r="I16" s="4"/>
      <c r="J16" s="4">
        <f t="shared" si="0"/>
        <v>1.9239297284464421</v>
      </c>
      <c r="K16" s="5">
        <f t="shared" si="1"/>
        <v>6.8891751901824536</v>
      </c>
      <c r="L16" s="5">
        <f t="shared" si="2"/>
        <v>6.757830633861599</v>
      </c>
      <c r="M16" s="5">
        <f t="shared" si="3"/>
        <v>7.0246162394420768</v>
      </c>
      <c r="N16" s="5">
        <f t="shared" si="4"/>
        <v>0.13134455632085462</v>
      </c>
      <c r="O16" s="5">
        <f t="shared" si="5"/>
        <v>0.13544104925962319</v>
      </c>
    </row>
    <row r="17" spans="1:15" ht="15.6" customHeight="1" x14ac:dyDescent="0.3">
      <c r="A17" s="3">
        <v>1</v>
      </c>
      <c r="B17" s="3">
        <v>200</v>
      </c>
      <c r="C17" s="3">
        <v>1000</v>
      </c>
      <c r="D17" s="4">
        <v>0.14000000000000001</v>
      </c>
      <c r="E17" s="3">
        <v>10</v>
      </c>
      <c r="F17" s="4">
        <v>0</v>
      </c>
      <c r="G17" s="4">
        <v>135.57</v>
      </c>
      <c r="H17" s="4">
        <v>60.13</v>
      </c>
      <c r="I17" s="4"/>
      <c r="J17" s="4">
        <f t="shared" si="0"/>
        <v>1.9014775570592466</v>
      </c>
      <c r="K17" s="5">
        <f t="shared" si="1"/>
        <v>6.4598765433277947</v>
      </c>
      <c r="L17" s="5">
        <f t="shared" si="2"/>
        <v>6.3420981134626144</v>
      </c>
      <c r="M17" s="5">
        <f t="shared" si="3"/>
        <v>6.5809383129560004</v>
      </c>
      <c r="N17" s="5">
        <f t="shared" si="4"/>
        <v>0.11777842986518028</v>
      </c>
      <c r="O17" s="5">
        <f t="shared" si="5"/>
        <v>0.1210617696282057</v>
      </c>
    </row>
    <row r="18" spans="1:15" ht="15.6" customHeight="1" x14ac:dyDescent="0.3">
      <c r="A18" s="3">
        <v>1</v>
      </c>
      <c r="B18" s="3">
        <v>200</v>
      </c>
      <c r="C18" s="3">
        <v>1000</v>
      </c>
      <c r="D18" s="4">
        <v>0.15</v>
      </c>
      <c r="E18" s="3">
        <v>10</v>
      </c>
      <c r="F18" s="4">
        <v>0</v>
      </c>
      <c r="G18" s="4">
        <v>149.34</v>
      </c>
      <c r="H18" s="4">
        <v>61.47</v>
      </c>
      <c r="I18" s="4"/>
      <c r="J18" s="4">
        <f t="shared" si="0"/>
        <v>1.9438520777055028</v>
      </c>
      <c r="K18" s="5">
        <f t="shared" si="1"/>
        <v>6.0397510339140679</v>
      </c>
      <c r="L18" s="5">
        <f t="shared" si="2"/>
        <v>5.93034390823337</v>
      </c>
      <c r="M18" s="5">
        <f t="shared" si="3"/>
        <v>6.1519857204238635</v>
      </c>
      <c r="N18" s="5">
        <f t="shared" si="4"/>
        <v>0.10940712568069788</v>
      </c>
      <c r="O18" s="5">
        <f t="shared" si="5"/>
        <v>0.11223468650979562</v>
      </c>
    </row>
    <row r="19" spans="1:15" ht="15.6" customHeight="1" x14ac:dyDescent="0.3">
      <c r="A19" s="3">
        <v>1</v>
      </c>
      <c r="B19" s="3">
        <v>200</v>
      </c>
      <c r="C19" s="3">
        <v>1000</v>
      </c>
      <c r="D19" s="4">
        <v>0.16</v>
      </c>
      <c r="E19" s="3">
        <v>10</v>
      </c>
      <c r="F19" s="4">
        <v>0</v>
      </c>
      <c r="G19" s="4">
        <v>158.11000000000001</v>
      </c>
      <c r="H19" s="4">
        <v>59.49</v>
      </c>
      <c r="I19" s="4"/>
      <c r="J19" s="4">
        <f t="shared" si="0"/>
        <v>1.8812389800341689</v>
      </c>
      <c r="K19" s="5">
        <f t="shared" si="1"/>
        <v>5.7919191171344098</v>
      </c>
      <c r="L19" s="5">
        <f t="shared" si="2"/>
        <v>5.6918017254199524</v>
      </c>
      <c r="M19" s="5">
        <f t="shared" si="3"/>
        <v>5.8943990742382475</v>
      </c>
      <c r="N19" s="5">
        <f t="shared" si="4"/>
        <v>0.10011739171445733</v>
      </c>
      <c r="O19" s="5">
        <f t="shared" si="5"/>
        <v>0.10247995710383773</v>
      </c>
    </row>
    <row r="20" spans="1:15" ht="15.6" customHeight="1" x14ac:dyDescent="0.3">
      <c r="A20" s="3">
        <v>1</v>
      </c>
      <c r="B20" s="3">
        <v>200</v>
      </c>
      <c r="C20" s="3">
        <v>1000</v>
      </c>
      <c r="D20" s="4">
        <v>0.17</v>
      </c>
      <c r="E20" s="3">
        <v>10</v>
      </c>
      <c r="F20" s="4">
        <v>0</v>
      </c>
      <c r="G20" s="4">
        <v>168.34</v>
      </c>
      <c r="H20" s="4">
        <v>60.18</v>
      </c>
      <c r="I20" s="4"/>
      <c r="J20" s="4">
        <f t="shared" si="0"/>
        <v>1.9030586958893307</v>
      </c>
      <c r="K20" s="5">
        <f t="shared" si="1"/>
        <v>5.5196392754376387</v>
      </c>
      <c r="L20" s="5">
        <f t="shared" si="2"/>
        <v>5.4244610418698338</v>
      </c>
      <c r="M20" s="5">
        <f t="shared" si="3"/>
        <v>5.6169502239221911</v>
      </c>
      <c r="N20" s="5">
        <f t="shared" si="4"/>
        <v>9.517823356780486E-2</v>
      </c>
      <c r="O20" s="5">
        <f t="shared" si="5"/>
        <v>9.7310948484552462E-2</v>
      </c>
    </row>
    <row r="21" spans="1:15" ht="15.6" customHeight="1" x14ac:dyDescent="0.3">
      <c r="A21" s="3">
        <v>1</v>
      </c>
      <c r="B21" s="3">
        <v>200</v>
      </c>
      <c r="C21" s="3">
        <v>1000</v>
      </c>
      <c r="D21" s="4">
        <v>0.18</v>
      </c>
      <c r="E21" s="3">
        <v>10</v>
      </c>
      <c r="F21" s="4">
        <v>0</v>
      </c>
      <c r="G21" s="4">
        <v>178.81</v>
      </c>
      <c r="H21" s="4">
        <v>58.37</v>
      </c>
      <c r="I21" s="4"/>
      <c r="J21" s="4">
        <f t="shared" si="0"/>
        <v>1.8458214702402829</v>
      </c>
      <c r="K21" s="5">
        <f t="shared" si="1"/>
        <v>5.2575944720239942</v>
      </c>
      <c r="L21" s="5">
        <f t="shared" si="2"/>
        <v>5.1706020562166879</v>
      </c>
      <c r="M21" s="5">
        <f t="shared" si="3"/>
        <v>5.3463650900236273</v>
      </c>
      <c r="N21" s="5">
        <f t="shared" si="4"/>
        <v>8.6992415807306323E-2</v>
      </c>
      <c r="O21" s="5">
        <f t="shared" si="5"/>
        <v>8.8770617999633039E-2</v>
      </c>
    </row>
    <row r="22" spans="1:15" ht="15.6" customHeight="1" x14ac:dyDescent="0.3">
      <c r="A22" s="3">
        <v>1</v>
      </c>
      <c r="B22" s="3">
        <v>200</v>
      </c>
      <c r="C22" s="3">
        <v>1000</v>
      </c>
      <c r="D22" s="4">
        <v>0.19</v>
      </c>
      <c r="E22" s="3">
        <v>10</v>
      </c>
      <c r="F22" s="4">
        <v>0</v>
      </c>
      <c r="G22" s="4">
        <v>189.01</v>
      </c>
      <c r="H22" s="4">
        <v>55.3</v>
      </c>
      <c r="I22" s="4"/>
      <c r="J22" s="4">
        <f t="shared" si="0"/>
        <v>1.7487395460731137</v>
      </c>
      <c r="K22" s="5">
        <f t="shared" si="1"/>
        <v>5.0166646827425998</v>
      </c>
      <c r="L22" s="5">
        <f t="shared" si="2"/>
        <v>4.93861477537288</v>
      </c>
      <c r="M22" s="5">
        <f t="shared" si="3"/>
        <v>5.0961429859310599</v>
      </c>
      <c r="N22" s="5">
        <f t="shared" si="4"/>
        <v>7.804990736971984E-2</v>
      </c>
      <c r="O22" s="5">
        <f t="shared" si="5"/>
        <v>7.9478303188460053E-2</v>
      </c>
    </row>
    <row r="23" spans="1:15" ht="15.6" customHeight="1" x14ac:dyDescent="0.3">
      <c r="A23" s="3">
        <v>1</v>
      </c>
      <c r="B23" s="3">
        <v>200</v>
      </c>
      <c r="C23" s="3">
        <v>1000</v>
      </c>
      <c r="D23" s="4">
        <v>0.2</v>
      </c>
      <c r="E23" s="3">
        <v>10</v>
      </c>
      <c r="F23" s="4">
        <v>0</v>
      </c>
      <c r="G23" s="4">
        <v>196.34</v>
      </c>
      <c r="H23" s="4">
        <v>54.41</v>
      </c>
      <c r="I23" s="4"/>
      <c r="J23" s="4">
        <f t="shared" si="0"/>
        <v>1.7205952748976152</v>
      </c>
      <c r="K23" s="5">
        <f t="shared" si="1"/>
        <v>4.8514246372507888</v>
      </c>
      <c r="L23" s="5">
        <f t="shared" si="2"/>
        <v>4.777462919719861</v>
      </c>
      <c r="M23" s="5">
        <f t="shared" si="3"/>
        <v>4.9266678010574951</v>
      </c>
      <c r="N23" s="5">
        <f t="shared" si="4"/>
        <v>7.3961717530927729E-2</v>
      </c>
      <c r="O23" s="5">
        <f t="shared" si="5"/>
        <v>7.524316380670637E-2</v>
      </c>
    </row>
    <row r="24" spans="1:15" ht="15.6" customHeight="1" x14ac:dyDescent="0.3">
      <c r="A24" s="13" t="s">
        <v>15</v>
      </c>
      <c r="B24" s="7"/>
      <c r="C24" s="7"/>
      <c r="D24" s="8"/>
      <c r="E24" s="7"/>
      <c r="F24" s="8"/>
      <c r="G24" s="8"/>
      <c r="H24" s="8"/>
      <c r="I24" s="8"/>
      <c r="J24" s="9"/>
      <c r="K24" s="10"/>
      <c r="L24" s="10"/>
      <c r="M24" s="10"/>
      <c r="N24" s="10"/>
      <c r="O24" s="10"/>
    </row>
    <row r="25" spans="1:15" ht="15.6" customHeight="1" x14ac:dyDescent="0.3">
      <c r="A25" s="3">
        <v>2</v>
      </c>
      <c r="B25" s="3">
        <v>200</v>
      </c>
      <c r="C25" s="3">
        <v>1000</v>
      </c>
      <c r="D25" s="4">
        <v>0</v>
      </c>
      <c r="E25" s="3">
        <v>10</v>
      </c>
      <c r="F25" s="4">
        <v>0</v>
      </c>
      <c r="G25" s="4">
        <v>66.66</v>
      </c>
      <c r="H25" s="4">
        <v>15.09</v>
      </c>
      <c r="I25" s="4"/>
      <c r="J25" s="4">
        <f t="shared" ref="J25:J45" si="6">H25/SQRT(C25)</f>
        <v>0.47718769891940843</v>
      </c>
      <c r="K25" s="5">
        <f t="shared" ref="K25:K45" si="7">-10*LOG10(G25/(B25*3))</f>
        <v>9.5428594105913245</v>
      </c>
      <c r="L25" s="5">
        <f t="shared" ref="L25:L45" si="8">-10*LOG10((G25+1.96*J25)/(B25*3))</f>
        <v>9.482348283288438</v>
      </c>
      <c r="M25" s="5">
        <f t="shared" ref="M25:M45" si="9">-10*LOG10((G25-1.96*J25)/(B25*3))</f>
        <v>9.6042255791427316</v>
      </c>
      <c r="N25" s="5">
        <f t="shared" ref="N25:N45" si="10">K25-L25</f>
        <v>6.0511127302886436E-2</v>
      </c>
      <c r="O25" s="5">
        <f t="shared" ref="O25:O45" si="11">M25-K25</f>
        <v>6.1366168551407085E-2</v>
      </c>
    </row>
    <row r="26" spans="1:15" ht="15.6" customHeight="1" x14ac:dyDescent="0.3">
      <c r="A26" s="3">
        <v>2</v>
      </c>
      <c r="B26" s="3">
        <v>200</v>
      </c>
      <c r="C26" s="3">
        <v>1000</v>
      </c>
      <c r="D26" s="4">
        <v>0.01</v>
      </c>
      <c r="E26" s="3">
        <v>10</v>
      </c>
      <c r="F26" s="3">
        <v>0</v>
      </c>
      <c r="G26" s="4">
        <v>67.36</v>
      </c>
      <c r="H26" s="4">
        <v>15.26</v>
      </c>
      <c r="I26" s="4"/>
      <c r="J26" s="4">
        <f t="shared" si="6"/>
        <v>0.48256357094169466</v>
      </c>
      <c r="K26" s="5">
        <f t="shared" si="7"/>
        <v>9.4974917189205055</v>
      </c>
      <c r="L26" s="5">
        <f t="shared" si="8"/>
        <v>9.4369351180650813</v>
      </c>
      <c r="M26" s="5">
        <f t="shared" si="9"/>
        <v>9.5589046557333432</v>
      </c>
      <c r="N26" s="5">
        <f t="shared" si="10"/>
        <v>6.0556600855424136E-2</v>
      </c>
      <c r="O26" s="5">
        <f t="shared" si="11"/>
        <v>6.1412936812837771E-2</v>
      </c>
    </row>
    <row r="27" spans="1:15" ht="15.6" customHeight="1" x14ac:dyDescent="0.3">
      <c r="A27" s="3">
        <v>2</v>
      </c>
      <c r="B27" s="3">
        <v>200</v>
      </c>
      <c r="C27" s="3">
        <v>1000</v>
      </c>
      <c r="D27" s="4">
        <v>0.02</v>
      </c>
      <c r="E27" s="3">
        <v>10</v>
      </c>
      <c r="F27" s="4">
        <v>0</v>
      </c>
      <c r="G27" s="4">
        <v>67.09</v>
      </c>
      <c r="H27" s="4">
        <v>14.44</v>
      </c>
      <c r="I27" s="4"/>
      <c r="J27" s="4">
        <f t="shared" si="6"/>
        <v>0.45663289412831398</v>
      </c>
      <c r="K27" s="5">
        <f t="shared" si="7"/>
        <v>9.5149345850777429</v>
      </c>
      <c r="L27" s="5">
        <f t="shared" si="8"/>
        <v>9.4573814548020749</v>
      </c>
      <c r="M27" s="5">
        <f t="shared" si="9"/>
        <v>9.5732606698070857</v>
      </c>
      <c r="N27" s="5">
        <f t="shared" si="10"/>
        <v>5.7553130275667996E-2</v>
      </c>
      <c r="O27" s="5">
        <f t="shared" si="11"/>
        <v>5.8326084729342753E-2</v>
      </c>
    </row>
    <row r="28" spans="1:15" ht="15.6" customHeight="1" x14ac:dyDescent="0.3">
      <c r="A28" s="3">
        <v>2</v>
      </c>
      <c r="B28" s="3">
        <v>200</v>
      </c>
      <c r="C28" s="3">
        <v>1000</v>
      </c>
      <c r="D28" s="4">
        <v>0.03</v>
      </c>
      <c r="E28" s="3">
        <v>10</v>
      </c>
      <c r="F28" s="4">
        <v>0</v>
      </c>
      <c r="G28" s="4">
        <v>65.489999999999995</v>
      </c>
      <c r="H28" s="4">
        <v>13.63</v>
      </c>
      <c r="I28" s="4"/>
      <c r="J28" s="4">
        <f t="shared" si="6"/>
        <v>0.43101844508095016</v>
      </c>
      <c r="K28" s="5">
        <f t="shared" si="7"/>
        <v>9.6197625995484195</v>
      </c>
      <c r="L28" s="5">
        <f t="shared" si="8"/>
        <v>9.5640985149923914</v>
      </c>
      <c r="M28" s="5">
        <f t="shared" si="9"/>
        <v>9.676149411172787</v>
      </c>
      <c r="N28" s="5">
        <f t="shared" si="10"/>
        <v>5.5664084556028115E-2</v>
      </c>
      <c r="O28" s="5">
        <f t="shared" si="11"/>
        <v>5.6386811624367539E-2</v>
      </c>
    </row>
    <row r="29" spans="1:15" ht="15.6" customHeight="1" x14ac:dyDescent="0.3">
      <c r="A29" s="3">
        <v>2</v>
      </c>
      <c r="B29" s="3">
        <v>200</v>
      </c>
      <c r="C29" s="3">
        <v>1000</v>
      </c>
      <c r="D29" s="4">
        <v>0.04</v>
      </c>
      <c r="E29" s="3">
        <v>10</v>
      </c>
      <c r="F29" s="4">
        <v>0</v>
      </c>
      <c r="G29" s="4">
        <v>66.67</v>
      </c>
      <c r="H29" s="4">
        <v>15.21</v>
      </c>
      <c r="I29" s="4"/>
      <c r="J29" s="4">
        <f t="shared" si="6"/>
        <v>0.48098243211161051</v>
      </c>
      <c r="K29" s="5">
        <f t="shared" si="7"/>
        <v>9.5422079525807959</v>
      </c>
      <c r="L29" s="5">
        <f t="shared" si="8"/>
        <v>9.4812280705478891</v>
      </c>
      <c r="M29" s="5">
        <f t="shared" si="9"/>
        <v>9.6040562697630083</v>
      </c>
      <c r="N29" s="5">
        <f t="shared" si="10"/>
        <v>6.0979882032906829E-2</v>
      </c>
      <c r="O29" s="5">
        <f t="shared" si="11"/>
        <v>6.1848317182212398E-2</v>
      </c>
    </row>
    <row r="30" spans="1:15" ht="15.6" customHeight="1" x14ac:dyDescent="0.3">
      <c r="A30" s="3">
        <v>2</v>
      </c>
      <c r="B30" s="3">
        <v>200</v>
      </c>
      <c r="C30" s="3">
        <v>1000</v>
      </c>
      <c r="D30" s="4">
        <v>0.05</v>
      </c>
      <c r="E30" s="3">
        <v>10</v>
      </c>
      <c r="F30" s="4">
        <v>0</v>
      </c>
      <c r="G30" s="4">
        <v>67.040000000000006</v>
      </c>
      <c r="H30" s="4">
        <v>14.17</v>
      </c>
      <c r="I30" s="4"/>
      <c r="J30" s="4">
        <f t="shared" si="6"/>
        <v>0.44809474444585934</v>
      </c>
      <c r="K30" s="5">
        <f t="shared" si="7"/>
        <v>9.5181724476142353</v>
      </c>
      <c r="L30" s="5">
        <f t="shared" si="8"/>
        <v>9.4616466276672853</v>
      </c>
      <c r="M30" s="5">
        <f t="shared" si="9"/>
        <v>9.5754436950673316</v>
      </c>
      <c r="N30" s="5">
        <f t="shared" si="10"/>
        <v>5.6525819946950051E-2</v>
      </c>
      <c r="O30" s="5">
        <f t="shared" si="11"/>
        <v>5.7271247453096308E-2</v>
      </c>
    </row>
    <row r="31" spans="1:15" ht="15.6" customHeight="1" x14ac:dyDescent="0.3">
      <c r="A31" s="3">
        <v>2</v>
      </c>
      <c r="B31" s="3">
        <v>200</v>
      </c>
      <c r="C31" s="3">
        <v>1000</v>
      </c>
      <c r="D31" s="4">
        <v>0.06</v>
      </c>
      <c r="E31" s="3">
        <v>10</v>
      </c>
      <c r="F31" s="4">
        <v>0</v>
      </c>
      <c r="G31" s="4">
        <v>68.430000000000007</v>
      </c>
      <c r="H31" s="4">
        <v>14.19</v>
      </c>
      <c r="I31" s="4"/>
      <c r="J31" s="4">
        <f t="shared" si="6"/>
        <v>0.44872719997789301</v>
      </c>
      <c r="K31" s="5">
        <f t="shared" si="7"/>
        <v>9.4290471038733266</v>
      </c>
      <c r="L31" s="5">
        <f t="shared" si="8"/>
        <v>9.3735845124877279</v>
      </c>
      <c r="M31" s="5">
        <f t="shared" si="9"/>
        <v>9.4852271657406479</v>
      </c>
      <c r="N31" s="5">
        <f t="shared" si="10"/>
        <v>5.5462591385598614E-2</v>
      </c>
      <c r="O31" s="5">
        <f t="shared" si="11"/>
        <v>5.6180061867321385E-2</v>
      </c>
    </row>
    <row r="32" spans="1:15" ht="15.6" customHeight="1" x14ac:dyDescent="0.3">
      <c r="A32" s="3">
        <v>2</v>
      </c>
      <c r="B32" s="3">
        <v>200</v>
      </c>
      <c r="C32" s="3">
        <v>1000</v>
      </c>
      <c r="D32" s="4">
        <v>7.0000000000000007E-2</v>
      </c>
      <c r="E32" s="3">
        <v>10</v>
      </c>
      <c r="F32" s="4">
        <v>0</v>
      </c>
      <c r="G32" s="4">
        <v>70.260000000000005</v>
      </c>
      <c r="H32" s="4">
        <v>15.54</v>
      </c>
      <c r="I32" s="4"/>
      <c r="J32" s="4">
        <f t="shared" si="6"/>
        <v>0.49141794839016611</v>
      </c>
      <c r="K32" s="5">
        <f t="shared" si="7"/>
        <v>9.3144310492763687</v>
      </c>
      <c r="L32" s="5">
        <f t="shared" si="8"/>
        <v>9.2552989507217447</v>
      </c>
      <c r="M32" s="5">
        <f t="shared" si="9"/>
        <v>9.3743793974731204</v>
      </c>
      <c r="N32" s="5">
        <f t="shared" si="10"/>
        <v>5.913209855462398E-2</v>
      </c>
      <c r="O32" s="5">
        <f t="shared" si="11"/>
        <v>5.9948348196751766E-2</v>
      </c>
    </row>
    <row r="33" spans="1:15" ht="15.6" customHeight="1" x14ac:dyDescent="0.3">
      <c r="A33" s="3">
        <v>2</v>
      </c>
      <c r="B33" s="3">
        <v>200</v>
      </c>
      <c r="C33" s="3">
        <v>1000</v>
      </c>
      <c r="D33" s="4">
        <v>0.08</v>
      </c>
      <c r="E33" s="3">
        <v>10</v>
      </c>
      <c r="F33" s="3">
        <v>0</v>
      </c>
      <c r="G33" s="4">
        <v>71.58</v>
      </c>
      <c r="H33" s="4">
        <v>15.11</v>
      </c>
      <c r="I33" s="4"/>
      <c r="J33" s="4">
        <f t="shared" si="6"/>
        <v>0.4778201544514421</v>
      </c>
      <c r="K33" s="5">
        <f t="shared" si="7"/>
        <v>9.233595563296582</v>
      </c>
      <c r="L33" s="5">
        <f t="shared" si="8"/>
        <v>9.1771425091318228</v>
      </c>
      <c r="M33" s="5">
        <f t="shared" si="9"/>
        <v>9.2907921143730192</v>
      </c>
      <c r="N33" s="5">
        <f t="shared" si="10"/>
        <v>5.6453054164759209E-2</v>
      </c>
      <c r="O33" s="5">
        <f t="shared" si="11"/>
        <v>5.7196551076437174E-2</v>
      </c>
    </row>
    <row r="34" spans="1:15" ht="15.6" customHeight="1" x14ac:dyDescent="0.3">
      <c r="A34" s="3">
        <v>2</v>
      </c>
      <c r="B34" s="3">
        <v>200</v>
      </c>
      <c r="C34" s="3">
        <v>1000</v>
      </c>
      <c r="D34" s="4">
        <v>0.09</v>
      </c>
      <c r="E34" s="3">
        <v>10</v>
      </c>
      <c r="F34" s="4">
        <v>0</v>
      </c>
      <c r="G34" s="4">
        <v>73.36</v>
      </c>
      <c r="H34" s="4">
        <v>14.71</v>
      </c>
      <c r="I34" s="4"/>
      <c r="J34" s="4">
        <f t="shared" si="6"/>
        <v>0.46517104381076863</v>
      </c>
      <c r="K34" s="5">
        <f t="shared" si="7"/>
        <v>9.1269192772167891</v>
      </c>
      <c r="L34" s="5">
        <f t="shared" si="8"/>
        <v>9.0732767972101254</v>
      </c>
      <c r="M34" s="5">
        <f t="shared" si="9"/>
        <v>9.1812326246369178</v>
      </c>
      <c r="N34" s="5">
        <f t="shared" si="10"/>
        <v>5.3642480006663718E-2</v>
      </c>
      <c r="O34" s="5">
        <f t="shared" si="11"/>
        <v>5.4313347420128721E-2</v>
      </c>
    </row>
    <row r="35" spans="1:15" ht="15.6" customHeight="1" x14ac:dyDescent="0.3">
      <c r="A35" s="3">
        <v>2</v>
      </c>
      <c r="B35" s="3">
        <v>200</v>
      </c>
      <c r="C35" s="3">
        <v>1000</v>
      </c>
      <c r="D35" s="4">
        <v>0.1</v>
      </c>
      <c r="E35" s="3">
        <v>10</v>
      </c>
      <c r="F35" s="3">
        <v>0</v>
      </c>
      <c r="G35" s="4">
        <v>78.56</v>
      </c>
      <c r="H35" s="4">
        <v>16.149999999999999</v>
      </c>
      <c r="I35" s="4"/>
      <c r="J35" s="4">
        <f t="shared" si="6"/>
        <v>0.51070784211719322</v>
      </c>
      <c r="K35" s="5">
        <f t="shared" si="7"/>
        <v>8.8294977560475036</v>
      </c>
      <c r="L35" s="5">
        <f t="shared" si="8"/>
        <v>8.7745108620122423</v>
      </c>
      <c r="M35" s="5">
        <f t="shared" si="9"/>
        <v>8.885189787587036</v>
      </c>
      <c r="N35" s="5">
        <f t="shared" si="10"/>
        <v>5.4986894035261358E-2</v>
      </c>
      <c r="O35" s="5">
        <f t="shared" si="11"/>
        <v>5.5692031539532394E-2</v>
      </c>
    </row>
    <row r="36" spans="1:15" ht="15.6" customHeight="1" x14ac:dyDescent="0.3">
      <c r="A36" s="3">
        <v>2</v>
      </c>
      <c r="B36" s="3">
        <v>200</v>
      </c>
      <c r="C36" s="3">
        <v>1000</v>
      </c>
      <c r="D36" s="4">
        <v>0.11</v>
      </c>
      <c r="E36" s="3">
        <v>10</v>
      </c>
      <c r="F36" s="3">
        <v>0</v>
      </c>
      <c r="G36" s="4">
        <v>79.53</v>
      </c>
      <c r="H36" s="4">
        <v>16.559999999999999</v>
      </c>
      <c r="I36" s="4"/>
      <c r="J36" s="4">
        <f t="shared" si="6"/>
        <v>0.52367318052388356</v>
      </c>
      <c r="K36" s="5">
        <f t="shared" si="7"/>
        <v>8.7762026793088772</v>
      </c>
      <c r="L36" s="5">
        <f t="shared" si="8"/>
        <v>8.7205120372395708</v>
      </c>
      <c r="M36" s="5">
        <f t="shared" si="9"/>
        <v>8.8326167427328883</v>
      </c>
      <c r="N36" s="5">
        <f t="shared" si="10"/>
        <v>5.5690642069306406E-2</v>
      </c>
      <c r="O36" s="5">
        <f t="shared" si="11"/>
        <v>5.6414063424011118E-2</v>
      </c>
    </row>
    <row r="37" spans="1:15" ht="15.6" customHeight="1" x14ac:dyDescent="0.3">
      <c r="A37" s="3">
        <v>2</v>
      </c>
      <c r="B37" s="3">
        <v>200</v>
      </c>
      <c r="C37" s="3">
        <v>1000</v>
      </c>
      <c r="D37" s="4">
        <v>0.12</v>
      </c>
      <c r="E37" s="3">
        <v>10</v>
      </c>
      <c r="F37" s="4">
        <v>0</v>
      </c>
      <c r="G37" s="4">
        <v>84.56</v>
      </c>
      <c r="H37" s="4">
        <v>20.67</v>
      </c>
      <c r="I37" s="4"/>
      <c r="J37" s="4">
        <f t="shared" si="6"/>
        <v>0.65364279235680411</v>
      </c>
      <c r="K37" s="5">
        <f t="shared" si="7"/>
        <v>8.5098627608427382</v>
      </c>
      <c r="L37" s="5">
        <f t="shared" si="8"/>
        <v>8.4445577444909965</v>
      </c>
      <c r="M37" s="5">
        <f t="shared" si="9"/>
        <v>8.5761647821293945</v>
      </c>
      <c r="N37" s="5">
        <f t="shared" si="10"/>
        <v>6.5305016351741685E-2</v>
      </c>
      <c r="O37" s="5">
        <f t="shared" si="11"/>
        <v>6.6302021286656299E-2</v>
      </c>
    </row>
    <row r="38" spans="1:15" ht="15.6" customHeight="1" x14ac:dyDescent="0.3">
      <c r="A38" s="3">
        <v>2</v>
      </c>
      <c r="B38" s="3">
        <v>200</v>
      </c>
      <c r="C38" s="3">
        <v>1000</v>
      </c>
      <c r="D38" s="4">
        <v>0.13</v>
      </c>
      <c r="E38" s="3">
        <v>10</v>
      </c>
      <c r="F38" s="4">
        <v>0</v>
      </c>
      <c r="G38" s="4">
        <v>87.71</v>
      </c>
      <c r="H38" s="4">
        <v>18.73</v>
      </c>
      <c r="I38" s="4"/>
      <c r="J38" s="4">
        <f t="shared" si="6"/>
        <v>0.59229460574953752</v>
      </c>
      <c r="K38" s="5">
        <f t="shared" si="7"/>
        <v>8.3510213937523687</v>
      </c>
      <c r="L38" s="5">
        <f t="shared" si="8"/>
        <v>8.2939168464383091</v>
      </c>
      <c r="M38" s="5">
        <f t="shared" si="9"/>
        <v>8.4088868134648305</v>
      </c>
      <c r="N38" s="5">
        <f t="shared" si="10"/>
        <v>5.7104547314059673E-2</v>
      </c>
      <c r="O38" s="5">
        <f t="shared" si="11"/>
        <v>5.786541971246173E-2</v>
      </c>
    </row>
    <row r="39" spans="1:15" ht="15.6" customHeight="1" x14ac:dyDescent="0.3">
      <c r="A39" s="3">
        <v>2</v>
      </c>
      <c r="B39" s="3">
        <v>200</v>
      </c>
      <c r="C39" s="3">
        <v>1000</v>
      </c>
      <c r="D39" s="4">
        <v>0.14000000000000001</v>
      </c>
      <c r="E39" s="3">
        <v>10</v>
      </c>
      <c r="F39" s="4">
        <v>0</v>
      </c>
      <c r="G39" s="4">
        <v>96.08</v>
      </c>
      <c r="H39" s="4">
        <v>18.91</v>
      </c>
      <c r="I39" s="4"/>
      <c r="J39" s="4">
        <f t="shared" si="6"/>
        <v>0.5979867055378405</v>
      </c>
      <c r="K39" s="5">
        <f t="shared" si="7"/>
        <v>7.9551825598879402</v>
      </c>
      <c r="L39" s="5">
        <f t="shared" si="8"/>
        <v>7.9025246808123972</v>
      </c>
      <c r="M39" s="5">
        <f t="shared" si="9"/>
        <v>8.0084867563490949</v>
      </c>
      <c r="N39" s="5">
        <f t="shared" si="10"/>
        <v>5.2657879075542979E-2</v>
      </c>
      <c r="O39" s="5">
        <f t="shared" si="11"/>
        <v>5.3304196461154696E-2</v>
      </c>
    </row>
    <row r="40" spans="1:15" ht="15.6" customHeight="1" x14ac:dyDescent="0.3">
      <c r="A40" s="3">
        <v>2</v>
      </c>
      <c r="B40" s="3">
        <v>200</v>
      </c>
      <c r="C40" s="3">
        <v>1000</v>
      </c>
      <c r="D40" s="4">
        <v>0.15</v>
      </c>
      <c r="E40" s="3">
        <v>10</v>
      </c>
      <c r="F40" s="4">
        <v>0</v>
      </c>
      <c r="G40" s="4">
        <v>106.5</v>
      </c>
      <c r="H40" s="4">
        <v>17.38</v>
      </c>
      <c r="I40" s="4"/>
      <c r="J40" s="4">
        <f t="shared" si="6"/>
        <v>0.54960385733726436</v>
      </c>
      <c r="K40" s="5">
        <f t="shared" si="7"/>
        <v>7.5080164260888713</v>
      </c>
      <c r="L40" s="5">
        <f t="shared" si="8"/>
        <v>7.4643091891491089</v>
      </c>
      <c r="M40" s="5">
        <f t="shared" si="9"/>
        <v>7.552168006700656</v>
      </c>
      <c r="N40" s="5">
        <f t="shared" si="10"/>
        <v>4.3707236939762417E-2</v>
      </c>
      <c r="O40" s="5">
        <f t="shared" si="11"/>
        <v>4.4151580611784702E-2</v>
      </c>
    </row>
    <row r="41" spans="1:15" ht="15.6" customHeight="1" x14ac:dyDescent="0.3">
      <c r="A41" s="3">
        <v>2</v>
      </c>
      <c r="B41" s="3">
        <v>200</v>
      </c>
      <c r="C41" s="3">
        <v>1000</v>
      </c>
      <c r="D41" s="4">
        <v>0.16</v>
      </c>
      <c r="E41" s="3">
        <v>10</v>
      </c>
      <c r="F41" s="4">
        <v>0</v>
      </c>
      <c r="G41" s="4">
        <v>119.45</v>
      </c>
      <c r="H41" s="4">
        <v>20.79</v>
      </c>
      <c r="I41" s="4"/>
      <c r="J41" s="4">
        <f t="shared" si="6"/>
        <v>0.65743752554900603</v>
      </c>
      <c r="K41" s="5">
        <f t="shared" si="7"/>
        <v>7.009650962977469</v>
      </c>
      <c r="L41" s="5">
        <f t="shared" si="8"/>
        <v>6.9630519536272537</v>
      </c>
      <c r="M41" s="5">
        <f t="shared" si="9"/>
        <v>7.0567553992780097</v>
      </c>
      <c r="N41" s="5">
        <f t="shared" si="10"/>
        <v>4.6599009350215326E-2</v>
      </c>
      <c r="O41" s="5">
        <f t="shared" si="11"/>
        <v>4.710443630054062E-2</v>
      </c>
    </row>
    <row r="42" spans="1:15" ht="15.6" customHeight="1" x14ac:dyDescent="0.3">
      <c r="A42" s="3">
        <v>2</v>
      </c>
      <c r="B42" s="3">
        <v>200</v>
      </c>
      <c r="C42" s="3">
        <v>1000</v>
      </c>
      <c r="D42" s="4">
        <v>0.17</v>
      </c>
      <c r="E42" s="3">
        <v>10</v>
      </c>
      <c r="F42" s="4">
        <v>0</v>
      </c>
      <c r="G42" s="4">
        <v>131.93</v>
      </c>
      <c r="H42" s="4">
        <v>21.8</v>
      </c>
      <c r="I42" s="4"/>
      <c r="J42" s="4">
        <f t="shared" si="6"/>
        <v>0.68937652991670673</v>
      </c>
      <c r="K42" s="5">
        <f t="shared" si="7"/>
        <v>6.578076879456189</v>
      </c>
      <c r="L42" s="5">
        <f t="shared" si="8"/>
        <v>6.5338242781517835</v>
      </c>
      <c r="M42" s="5">
        <f t="shared" si="9"/>
        <v>6.6227850402464377</v>
      </c>
      <c r="N42" s="5">
        <f t="shared" si="10"/>
        <v>4.4252601304405559E-2</v>
      </c>
      <c r="O42" s="5">
        <f t="shared" si="11"/>
        <v>4.4708160790248641E-2</v>
      </c>
    </row>
    <row r="43" spans="1:15" ht="15.6" customHeight="1" x14ac:dyDescent="0.3">
      <c r="A43" s="3">
        <v>2</v>
      </c>
      <c r="B43" s="3">
        <v>200</v>
      </c>
      <c r="C43" s="3">
        <v>1000</v>
      </c>
      <c r="D43" s="4">
        <v>0.18</v>
      </c>
      <c r="E43" s="3">
        <v>10</v>
      </c>
      <c r="F43" s="4">
        <v>0</v>
      </c>
      <c r="G43" s="4">
        <v>141.36000000000001</v>
      </c>
      <c r="H43" s="4">
        <v>20.079999999999998</v>
      </c>
      <c r="I43" s="4"/>
      <c r="J43" s="4">
        <f t="shared" si="6"/>
        <v>0.63498535416181057</v>
      </c>
      <c r="K43" s="5">
        <f t="shared" si="7"/>
        <v>6.278247138849359</v>
      </c>
      <c r="L43" s="5">
        <f t="shared" si="8"/>
        <v>6.2401780301641292</v>
      </c>
      <c r="M43" s="5">
        <f t="shared" si="9"/>
        <v>6.316652904520371</v>
      </c>
      <c r="N43" s="5">
        <f t="shared" si="10"/>
        <v>3.8069108685229835E-2</v>
      </c>
      <c r="O43" s="5">
        <f t="shared" si="11"/>
        <v>3.8405765671011949E-2</v>
      </c>
    </row>
    <row r="44" spans="1:15" ht="15.6" customHeight="1" x14ac:dyDescent="0.3">
      <c r="A44" s="3">
        <v>2</v>
      </c>
      <c r="B44" s="3">
        <v>200</v>
      </c>
      <c r="C44" s="3">
        <v>1000</v>
      </c>
      <c r="D44" s="4">
        <v>0.19</v>
      </c>
      <c r="E44" s="3">
        <v>10</v>
      </c>
      <c r="F44" s="4">
        <v>0</v>
      </c>
      <c r="G44" s="4">
        <v>151.88</v>
      </c>
      <c r="H44" s="4">
        <v>21.45</v>
      </c>
      <c r="I44" s="4"/>
      <c r="J44" s="4">
        <f t="shared" si="6"/>
        <v>0.67830855810611734</v>
      </c>
      <c r="K44" s="5">
        <f t="shared" si="7"/>
        <v>5.9665066191588414</v>
      </c>
      <c r="L44" s="5">
        <f t="shared" si="8"/>
        <v>5.9286559828904695</v>
      </c>
      <c r="M44" s="5">
        <f t="shared" si="9"/>
        <v>6.0046900425472938</v>
      </c>
      <c r="N44" s="5">
        <f t="shared" si="10"/>
        <v>3.7850636268371929E-2</v>
      </c>
      <c r="O44" s="5">
        <f t="shared" si="11"/>
        <v>3.8183423388452375E-2</v>
      </c>
    </row>
    <row r="45" spans="1:15" ht="15.6" customHeight="1" x14ac:dyDescent="0.3">
      <c r="A45" s="3">
        <v>2</v>
      </c>
      <c r="B45" s="3">
        <v>200</v>
      </c>
      <c r="C45" s="3">
        <v>1000</v>
      </c>
      <c r="D45" s="4">
        <v>0.2</v>
      </c>
      <c r="E45" s="3">
        <v>10</v>
      </c>
      <c r="F45" s="4">
        <v>0</v>
      </c>
      <c r="G45" s="4">
        <v>161.22999999999999</v>
      </c>
      <c r="H45" s="4">
        <v>20.95</v>
      </c>
      <c r="I45" s="4"/>
      <c r="J45" s="4">
        <f t="shared" si="6"/>
        <v>0.66249716980527551</v>
      </c>
      <c r="K45" s="5">
        <f t="shared" si="7"/>
        <v>5.7070539639939213</v>
      </c>
      <c r="L45" s="5">
        <f t="shared" si="8"/>
        <v>5.6722173799939037</v>
      </c>
      <c r="M45" s="5">
        <f t="shared" si="9"/>
        <v>5.7421722480189699</v>
      </c>
      <c r="N45" s="5">
        <f t="shared" si="10"/>
        <v>3.4836584000017545E-2</v>
      </c>
      <c r="O45" s="5">
        <f t="shared" si="11"/>
        <v>3.5118284025048574E-2</v>
      </c>
    </row>
    <row r="46" spans="1:15" ht="15.6" customHeight="1" x14ac:dyDescent="0.3">
      <c r="A46" s="13" t="s">
        <v>16</v>
      </c>
      <c r="B46" s="7"/>
      <c r="C46" s="7"/>
      <c r="D46" s="8"/>
      <c r="E46" s="7"/>
      <c r="F46" s="8"/>
      <c r="G46" s="8"/>
      <c r="H46" s="8"/>
      <c r="I46" s="8"/>
      <c r="J46" s="9"/>
      <c r="K46" s="10"/>
      <c r="L46" s="10"/>
      <c r="M46" s="10"/>
      <c r="N46" s="10"/>
      <c r="O46" s="10"/>
    </row>
    <row r="47" spans="1:15" ht="15.6" customHeight="1" x14ac:dyDescent="0.3">
      <c r="A47" s="1">
        <v>3</v>
      </c>
      <c r="B47" s="1">
        <v>200</v>
      </c>
      <c r="C47" s="1">
        <v>1000</v>
      </c>
      <c r="D47" s="2">
        <v>0</v>
      </c>
      <c r="E47" s="1">
        <v>10</v>
      </c>
      <c r="F47" s="2">
        <v>0</v>
      </c>
      <c r="G47" s="2">
        <v>72.69</v>
      </c>
      <c r="H47" s="2">
        <v>17.350000000000001</v>
      </c>
      <c r="J47" s="4">
        <f t="shared" ref="J47:J67" si="12">H47/SQRT(C47)</f>
        <v>0.54865517403921382</v>
      </c>
      <c r="K47" s="5">
        <f t="shared" ref="K47:K67" si="13">-10*LOG10(G47/(B47*3))</f>
        <v>9.1667658152647498</v>
      </c>
      <c r="L47" s="5">
        <f t="shared" ref="L47:L67" si="14">-10*LOG10((G47+1.96*J47)/(B47*3))</f>
        <v>9.1029875974341934</v>
      </c>
      <c r="M47" s="5">
        <f t="shared" ref="M47:M67" si="15">-10*LOG10((G47-1.96*J47)/(B47*3))</f>
        <v>9.231494623887496</v>
      </c>
      <c r="N47" s="5">
        <f t="shared" ref="N47:N67" si="16">K47-L47</f>
        <v>6.3778217830556372E-2</v>
      </c>
      <c r="O47" s="5">
        <f t="shared" ref="O47:O67" si="17">M47-K47</f>
        <v>6.4728808622746214E-2</v>
      </c>
    </row>
    <row r="48" spans="1:15" ht="15.6" customHeight="1" x14ac:dyDescent="0.3">
      <c r="A48" s="1">
        <v>3</v>
      </c>
      <c r="B48" s="1">
        <v>200</v>
      </c>
      <c r="C48" s="1">
        <v>1000</v>
      </c>
      <c r="D48" s="2">
        <v>0.01</v>
      </c>
      <c r="E48" s="1">
        <v>10</v>
      </c>
      <c r="F48" s="2">
        <v>0</v>
      </c>
      <c r="G48" s="2">
        <v>71.5</v>
      </c>
      <c r="H48" s="2">
        <v>16.010000000000002</v>
      </c>
      <c r="J48" s="4">
        <f t="shared" si="12"/>
        <v>0.50628065339295758</v>
      </c>
      <c r="K48" s="5">
        <f t="shared" si="13"/>
        <v>9.2384520858256298</v>
      </c>
      <c r="L48" s="5">
        <f t="shared" si="14"/>
        <v>9.1785931093912261</v>
      </c>
      <c r="M48" s="5">
        <f t="shared" si="15"/>
        <v>9.2991476449278814</v>
      </c>
      <c r="N48" s="5">
        <f t="shared" si="16"/>
        <v>5.9858976434403743E-2</v>
      </c>
      <c r="O48" s="5">
        <f t="shared" si="17"/>
        <v>6.0695559102251551E-2</v>
      </c>
    </row>
    <row r="49" spans="1:15" ht="15.6" customHeight="1" x14ac:dyDescent="0.3">
      <c r="A49" s="1">
        <v>3</v>
      </c>
      <c r="B49" s="1">
        <v>200</v>
      </c>
      <c r="C49" s="1">
        <v>1000</v>
      </c>
      <c r="D49" s="2">
        <v>0.02</v>
      </c>
      <c r="E49" s="1">
        <v>10</v>
      </c>
      <c r="F49" s="2">
        <v>0</v>
      </c>
      <c r="G49" s="2">
        <v>71.47</v>
      </c>
      <c r="H49" s="2">
        <v>16.18</v>
      </c>
      <c r="J49" s="4">
        <f t="shared" si="12"/>
        <v>0.51165652541524376</v>
      </c>
      <c r="K49" s="5">
        <f t="shared" si="13"/>
        <v>9.2402746828247668</v>
      </c>
      <c r="L49" s="5">
        <f t="shared" si="14"/>
        <v>9.1797592930512408</v>
      </c>
      <c r="M49" s="5">
        <f t="shared" si="15"/>
        <v>9.301645235164365</v>
      </c>
      <c r="N49" s="5">
        <f t="shared" si="16"/>
        <v>6.0515389773525996E-2</v>
      </c>
      <c r="O49" s="5">
        <f t="shared" si="17"/>
        <v>6.1370552339598206E-2</v>
      </c>
    </row>
    <row r="50" spans="1:15" ht="15.6" customHeight="1" x14ac:dyDescent="0.3">
      <c r="A50" s="1">
        <v>3</v>
      </c>
      <c r="B50" s="1">
        <v>200</v>
      </c>
      <c r="C50" s="1">
        <v>1000</v>
      </c>
      <c r="D50" s="2">
        <v>0.03</v>
      </c>
      <c r="E50" s="1">
        <v>10</v>
      </c>
      <c r="F50" s="2">
        <v>0</v>
      </c>
      <c r="G50" s="2">
        <v>71.8</v>
      </c>
      <c r="H50" s="2">
        <v>15.36</v>
      </c>
      <c r="J50" s="4">
        <f t="shared" si="12"/>
        <v>0.48572584860186307</v>
      </c>
      <c r="K50" s="5">
        <f t="shared" si="13"/>
        <v>9.2202680614134334</v>
      </c>
      <c r="L50" s="5">
        <f t="shared" si="14"/>
        <v>9.163061782338616</v>
      </c>
      <c r="M50" s="5">
        <f t="shared" si="15"/>
        <v>9.2782379444563539</v>
      </c>
      <c r="N50" s="5">
        <f t="shared" si="16"/>
        <v>5.7206279074817346E-2</v>
      </c>
      <c r="O50" s="5">
        <f t="shared" si="17"/>
        <v>5.79698830429205E-2</v>
      </c>
    </row>
    <row r="51" spans="1:15" ht="15.6" customHeight="1" x14ac:dyDescent="0.3">
      <c r="A51" s="1">
        <v>3</v>
      </c>
      <c r="B51" s="1">
        <v>200</v>
      </c>
      <c r="C51" s="1">
        <v>1000</v>
      </c>
      <c r="D51" s="2">
        <v>0.04</v>
      </c>
      <c r="E51" s="1">
        <v>10</v>
      </c>
      <c r="F51" s="2">
        <v>0</v>
      </c>
      <c r="G51" s="2">
        <v>73.430000000000007</v>
      </c>
      <c r="H51" s="2">
        <v>16.239999999999998</v>
      </c>
      <c r="J51" s="4">
        <f t="shared" si="12"/>
        <v>0.51355389201134471</v>
      </c>
      <c r="K51" s="5">
        <f t="shared" si="13"/>
        <v>9.1227772217582892</v>
      </c>
      <c r="L51" s="5">
        <f t="shared" si="14"/>
        <v>9.0636492304296219</v>
      </c>
      <c r="M51" s="5">
        <f t="shared" si="15"/>
        <v>9.182721348557779</v>
      </c>
      <c r="N51" s="5">
        <f t="shared" si="16"/>
        <v>5.9127991328667306E-2</v>
      </c>
      <c r="O51" s="5">
        <f t="shared" si="17"/>
        <v>5.9944126799489794E-2</v>
      </c>
    </row>
    <row r="52" spans="1:15" ht="15.6" customHeight="1" x14ac:dyDescent="0.3">
      <c r="A52" s="1">
        <v>3</v>
      </c>
      <c r="B52" s="1">
        <v>200</v>
      </c>
      <c r="C52" s="1">
        <v>1000</v>
      </c>
      <c r="D52" s="2">
        <v>0.05</v>
      </c>
      <c r="E52" s="1">
        <v>10</v>
      </c>
      <c r="F52" s="2">
        <v>0</v>
      </c>
      <c r="G52" s="2">
        <v>75.349999999999994</v>
      </c>
      <c r="H52" s="2">
        <v>16.02</v>
      </c>
      <c r="J52" s="4">
        <f t="shared" si="12"/>
        <v>0.50659688115897439</v>
      </c>
      <c r="K52" s="5">
        <f t="shared" si="13"/>
        <v>9.0106799373299307</v>
      </c>
      <c r="L52" s="5">
        <f t="shared" si="14"/>
        <v>8.953824271078604</v>
      </c>
      <c r="M52" s="5">
        <f t="shared" si="15"/>
        <v>9.0682898142547543</v>
      </c>
      <c r="N52" s="5">
        <f t="shared" si="16"/>
        <v>5.6855666251326653E-2</v>
      </c>
      <c r="O52" s="5">
        <f t="shared" si="17"/>
        <v>5.7609876924823666E-2</v>
      </c>
    </row>
    <row r="53" spans="1:15" ht="15.6" customHeight="1" x14ac:dyDescent="0.3">
      <c r="A53" s="1">
        <v>3</v>
      </c>
      <c r="B53" s="1">
        <v>200</v>
      </c>
      <c r="C53" s="1">
        <v>1000</v>
      </c>
      <c r="D53" s="2">
        <v>0.06</v>
      </c>
      <c r="E53" s="1">
        <v>10</v>
      </c>
      <c r="F53" s="2">
        <v>0</v>
      </c>
      <c r="G53" s="2">
        <v>80.040000000000006</v>
      </c>
      <c r="H53" s="2">
        <v>16.8</v>
      </c>
      <c r="J53" s="4">
        <f t="shared" si="12"/>
        <v>0.53126264690828773</v>
      </c>
      <c r="K53" s="5">
        <f t="shared" si="13"/>
        <v>8.7484417041946987</v>
      </c>
      <c r="L53" s="5">
        <f t="shared" si="14"/>
        <v>8.6923068218043511</v>
      </c>
      <c r="M53" s="5">
        <f t="shared" si="15"/>
        <v>8.8053116716706228</v>
      </c>
      <c r="N53" s="5">
        <f t="shared" si="16"/>
        <v>5.6134882390347585E-2</v>
      </c>
      <c r="O53" s="5">
        <f t="shared" si="17"/>
        <v>5.6869967475924099E-2</v>
      </c>
    </row>
    <row r="54" spans="1:15" ht="15.6" customHeight="1" x14ac:dyDescent="0.3">
      <c r="A54" s="1">
        <v>3</v>
      </c>
      <c r="B54" s="1">
        <v>200</v>
      </c>
      <c r="C54" s="1">
        <v>1000</v>
      </c>
      <c r="D54" s="2">
        <v>7.0000000000000007E-2</v>
      </c>
      <c r="E54" s="1">
        <v>10</v>
      </c>
      <c r="F54" s="2">
        <v>0</v>
      </c>
      <c r="G54" s="2">
        <v>82.52</v>
      </c>
      <c r="H54" s="2">
        <v>16.38</v>
      </c>
      <c r="J54" s="4">
        <f t="shared" si="12"/>
        <v>0.51798108073558047</v>
      </c>
      <c r="K54" s="5">
        <f t="shared" si="13"/>
        <v>8.6159203108252971</v>
      </c>
      <c r="L54" s="5">
        <f t="shared" si="14"/>
        <v>8.5628151051968366</v>
      </c>
      <c r="M54" s="5">
        <f t="shared" si="15"/>
        <v>8.6696829300482783</v>
      </c>
      <c r="N54" s="5">
        <f t="shared" si="16"/>
        <v>5.3105205628460439E-2</v>
      </c>
      <c r="O54" s="5">
        <f t="shared" si="17"/>
        <v>5.3762619222981201E-2</v>
      </c>
    </row>
    <row r="55" spans="1:15" ht="15.6" customHeight="1" x14ac:dyDescent="0.3">
      <c r="A55" s="1">
        <v>3</v>
      </c>
      <c r="B55" s="1">
        <v>200</v>
      </c>
      <c r="C55" s="1">
        <v>1000</v>
      </c>
      <c r="D55" s="2">
        <v>0.08</v>
      </c>
      <c r="E55" s="1">
        <v>10</v>
      </c>
      <c r="F55" s="2">
        <v>0</v>
      </c>
      <c r="G55" s="2">
        <v>83.89</v>
      </c>
      <c r="H55" s="2">
        <v>16.87</v>
      </c>
      <c r="J55" s="4">
        <f t="shared" si="12"/>
        <v>0.5334762412704056</v>
      </c>
      <c r="K55" s="5">
        <f t="shared" si="13"/>
        <v>8.5444105598708084</v>
      </c>
      <c r="L55" s="5">
        <f t="shared" si="14"/>
        <v>8.4906142263272386</v>
      </c>
      <c r="M55" s="5">
        <f t="shared" si="15"/>
        <v>8.5988816388683667</v>
      </c>
      <c r="N55" s="5">
        <f t="shared" si="16"/>
        <v>5.379633354356983E-2</v>
      </c>
      <c r="O55" s="5">
        <f t="shared" si="17"/>
        <v>5.4471078997558209E-2</v>
      </c>
    </row>
    <row r="56" spans="1:15" ht="15.6" customHeight="1" x14ac:dyDescent="0.3">
      <c r="A56" s="1">
        <v>3</v>
      </c>
      <c r="B56" s="1">
        <v>200</v>
      </c>
      <c r="C56" s="1">
        <v>1000</v>
      </c>
      <c r="D56" s="2">
        <v>0.09</v>
      </c>
      <c r="E56" s="1">
        <v>10</v>
      </c>
      <c r="F56" s="2">
        <v>0</v>
      </c>
      <c r="G56" s="2">
        <v>84.54</v>
      </c>
      <c r="H56" s="2">
        <v>16.98</v>
      </c>
      <c r="J56" s="4">
        <f t="shared" si="12"/>
        <v>0.53695474669659082</v>
      </c>
      <c r="K56" s="5">
        <f t="shared" si="13"/>
        <v>8.510890068906436</v>
      </c>
      <c r="L56" s="5">
        <f t="shared" si="14"/>
        <v>8.4571588744062396</v>
      </c>
      <c r="M56" s="5">
        <f t="shared" si="15"/>
        <v>8.5652943655810425</v>
      </c>
      <c r="N56" s="5">
        <f t="shared" si="16"/>
        <v>5.3731194500196366E-2</v>
      </c>
      <c r="O56" s="5">
        <f t="shared" si="17"/>
        <v>5.4404296674606556E-2</v>
      </c>
    </row>
    <row r="57" spans="1:15" ht="15.6" customHeight="1" x14ac:dyDescent="0.3">
      <c r="A57" s="1">
        <v>3</v>
      </c>
      <c r="B57" s="1">
        <v>200</v>
      </c>
      <c r="C57" s="1">
        <v>1000</v>
      </c>
      <c r="D57" s="2">
        <v>0.1</v>
      </c>
      <c r="E57" s="1">
        <v>10</v>
      </c>
      <c r="F57" s="2">
        <v>0</v>
      </c>
      <c r="G57" s="2">
        <v>83.79</v>
      </c>
      <c r="H57" s="2">
        <v>17.079999999999998</v>
      </c>
      <c r="J57" s="4">
        <f t="shared" si="12"/>
        <v>0.54011702435675912</v>
      </c>
      <c r="K57" s="5">
        <f t="shared" si="13"/>
        <v>8.5495905996297612</v>
      </c>
      <c r="L57" s="5">
        <f t="shared" si="14"/>
        <v>8.4950641920237562</v>
      </c>
      <c r="M57" s="5">
        <f t="shared" si="15"/>
        <v>8.6048103092636836</v>
      </c>
      <c r="N57" s="5">
        <f t="shared" si="16"/>
        <v>5.4526407606005023E-2</v>
      </c>
      <c r="O57" s="5">
        <f t="shared" si="17"/>
        <v>5.521970963392242E-2</v>
      </c>
    </row>
    <row r="58" spans="1:15" ht="15.6" customHeight="1" x14ac:dyDescent="0.3">
      <c r="A58" s="1">
        <v>3</v>
      </c>
      <c r="B58" s="1">
        <v>200</v>
      </c>
      <c r="C58" s="1">
        <v>1000</v>
      </c>
      <c r="D58" s="2">
        <v>0.11</v>
      </c>
      <c r="E58" s="1">
        <v>10</v>
      </c>
      <c r="F58" s="2">
        <v>0</v>
      </c>
      <c r="G58" s="2">
        <v>84.14</v>
      </c>
      <c r="H58" s="2">
        <v>15.92</v>
      </c>
      <c r="J58" s="4">
        <f t="shared" si="12"/>
        <v>0.50343460349880598</v>
      </c>
      <c r="K58" s="5">
        <f t="shared" si="13"/>
        <v>8.5314874270266614</v>
      </c>
      <c r="L58" s="5">
        <f t="shared" si="14"/>
        <v>8.4808529006239013</v>
      </c>
      <c r="M58" s="5">
        <f t="shared" si="15"/>
        <v>8.5827192739447948</v>
      </c>
      <c r="N58" s="5">
        <f t="shared" si="16"/>
        <v>5.0634526402760116E-2</v>
      </c>
      <c r="O58" s="5">
        <f t="shared" si="17"/>
        <v>5.1231846918133428E-2</v>
      </c>
    </row>
    <row r="59" spans="1:15" ht="15.6" customHeight="1" x14ac:dyDescent="0.3">
      <c r="A59" s="1">
        <v>3</v>
      </c>
      <c r="B59" s="1">
        <v>200</v>
      </c>
      <c r="C59" s="1">
        <v>1000</v>
      </c>
      <c r="D59" s="2">
        <v>0.12</v>
      </c>
      <c r="E59" s="1">
        <v>10</v>
      </c>
      <c r="F59" s="2">
        <v>0</v>
      </c>
      <c r="G59" s="2">
        <v>86.29</v>
      </c>
      <c r="H59" s="2">
        <v>16.100000000000001</v>
      </c>
      <c r="J59" s="4">
        <f t="shared" si="12"/>
        <v>0.50912670328710918</v>
      </c>
      <c r="K59" s="5">
        <f t="shared" si="13"/>
        <v>8.4219078139447703</v>
      </c>
      <c r="L59" s="5">
        <f t="shared" si="14"/>
        <v>8.3719726318085304</v>
      </c>
      <c r="M59" s="5">
        <f t="shared" si="15"/>
        <v>8.4724238358041788</v>
      </c>
      <c r="N59" s="5">
        <f t="shared" si="16"/>
        <v>4.9935182136239931E-2</v>
      </c>
      <c r="O59" s="5">
        <f t="shared" si="17"/>
        <v>5.0516021859408511E-2</v>
      </c>
    </row>
    <row r="60" spans="1:15" ht="15.6" customHeight="1" x14ac:dyDescent="0.3">
      <c r="A60" s="1">
        <v>3</v>
      </c>
      <c r="B60" s="1">
        <v>200</v>
      </c>
      <c r="C60" s="1">
        <v>1000</v>
      </c>
      <c r="D60" s="2">
        <v>0.13</v>
      </c>
      <c r="E60" s="1">
        <v>10</v>
      </c>
      <c r="F60" s="2">
        <v>0</v>
      </c>
      <c r="G60" s="2">
        <v>90.19</v>
      </c>
      <c r="H60" s="2">
        <v>15.67</v>
      </c>
      <c r="J60" s="4">
        <f t="shared" si="12"/>
        <v>0.49552890934838506</v>
      </c>
      <c r="K60" s="5">
        <f t="shared" si="13"/>
        <v>8.229928634578501</v>
      </c>
      <c r="L60" s="5">
        <f t="shared" si="14"/>
        <v>8.183410423441531</v>
      </c>
      <c r="M60" s="5">
        <f t="shared" si="15"/>
        <v>8.2769505119722293</v>
      </c>
      <c r="N60" s="5">
        <f t="shared" si="16"/>
        <v>4.6518211136969967E-2</v>
      </c>
      <c r="O60" s="5">
        <f t="shared" si="17"/>
        <v>4.7021877393728317E-2</v>
      </c>
    </row>
    <row r="61" spans="1:15" ht="15.6" customHeight="1" x14ac:dyDescent="0.3">
      <c r="A61" s="1">
        <v>3</v>
      </c>
      <c r="B61" s="1">
        <v>200</v>
      </c>
      <c r="C61" s="1">
        <v>1000</v>
      </c>
      <c r="D61" s="2">
        <v>0.14000000000000001</v>
      </c>
      <c r="E61" s="1">
        <v>10</v>
      </c>
      <c r="F61" s="2">
        <v>0</v>
      </c>
      <c r="G61" s="2">
        <v>94.67</v>
      </c>
      <c r="H61" s="2">
        <v>15.58</v>
      </c>
      <c r="J61" s="4">
        <f t="shared" si="12"/>
        <v>0.49268285945423351</v>
      </c>
      <c r="K61" s="5">
        <f t="shared" si="13"/>
        <v>8.0193887326626658</v>
      </c>
      <c r="L61" s="5">
        <f t="shared" si="14"/>
        <v>7.9753139826564308</v>
      </c>
      <c r="M61" s="5">
        <f t="shared" si="15"/>
        <v>8.0639153689956444</v>
      </c>
      <c r="N61" s="5">
        <f t="shared" si="16"/>
        <v>4.4074750006235064E-2</v>
      </c>
      <c r="O61" s="5">
        <f t="shared" si="17"/>
        <v>4.4526636332978597E-2</v>
      </c>
    </row>
    <row r="62" spans="1:15" ht="15.6" customHeight="1" x14ac:dyDescent="0.3">
      <c r="A62" s="1">
        <v>3</v>
      </c>
      <c r="B62" s="1">
        <v>200</v>
      </c>
      <c r="C62" s="1">
        <v>1000</v>
      </c>
      <c r="D62" s="2">
        <v>0.15</v>
      </c>
      <c r="E62" s="1">
        <v>10</v>
      </c>
      <c r="F62" s="2">
        <v>0</v>
      </c>
      <c r="G62" s="2">
        <v>104.3</v>
      </c>
      <c r="H62" s="2">
        <v>16.260000000000002</v>
      </c>
      <c r="J62" s="4">
        <f t="shared" si="12"/>
        <v>0.51418634754337855</v>
      </c>
      <c r="K62" s="5">
        <f t="shared" si="13"/>
        <v>7.5986694195711282</v>
      </c>
      <c r="L62" s="5">
        <f t="shared" si="14"/>
        <v>7.5569068881305483</v>
      </c>
      <c r="M62" s="5">
        <f t="shared" si="15"/>
        <v>7.6408374494579379</v>
      </c>
      <c r="N62" s="5">
        <f t="shared" si="16"/>
        <v>4.1762531440579842E-2</v>
      </c>
      <c r="O62" s="5">
        <f t="shared" si="17"/>
        <v>4.2168029886809677E-2</v>
      </c>
    </row>
    <row r="63" spans="1:15" ht="15.6" customHeight="1" x14ac:dyDescent="0.3">
      <c r="A63" s="1">
        <v>3</v>
      </c>
      <c r="B63" s="1">
        <v>200</v>
      </c>
      <c r="C63" s="1">
        <v>1000</v>
      </c>
      <c r="D63" s="2">
        <v>0.16</v>
      </c>
      <c r="E63" s="1">
        <v>10</v>
      </c>
      <c r="F63" s="2">
        <v>0</v>
      </c>
      <c r="G63" s="2">
        <v>113.93</v>
      </c>
      <c r="H63" s="2">
        <v>15.85</v>
      </c>
      <c r="J63" s="4">
        <f t="shared" si="12"/>
        <v>0.5012210091366881</v>
      </c>
      <c r="K63" s="5">
        <f t="shared" si="13"/>
        <v>7.215131530039911</v>
      </c>
      <c r="L63" s="5">
        <f t="shared" si="14"/>
        <v>7.1778438097707129</v>
      </c>
      <c r="M63" s="5">
        <f t="shared" si="15"/>
        <v>7.2527421703049821</v>
      </c>
      <c r="N63" s="5">
        <f t="shared" si="16"/>
        <v>3.7287720269198132E-2</v>
      </c>
      <c r="O63" s="5">
        <f t="shared" si="17"/>
        <v>3.7610640265071105E-2</v>
      </c>
    </row>
    <row r="64" spans="1:15" ht="15.6" customHeight="1" x14ac:dyDescent="0.3">
      <c r="A64" s="1">
        <v>3</v>
      </c>
      <c r="B64" s="1">
        <v>200</v>
      </c>
      <c r="C64" s="1">
        <v>1000</v>
      </c>
      <c r="D64" s="2">
        <v>0.17</v>
      </c>
      <c r="E64" s="1">
        <v>10</v>
      </c>
      <c r="F64" s="2">
        <v>0</v>
      </c>
      <c r="G64" s="2">
        <v>123.65</v>
      </c>
      <c r="H64" s="2">
        <v>16.61</v>
      </c>
      <c r="J64" s="4">
        <f t="shared" si="12"/>
        <v>0.52525431935396782</v>
      </c>
      <c r="K64" s="5">
        <f t="shared" si="13"/>
        <v>6.8595712968632752</v>
      </c>
      <c r="L64" s="5">
        <f t="shared" si="14"/>
        <v>6.8235620376244368</v>
      </c>
      <c r="M64" s="5">
        <f t="shared" si="15"/>
        <v>6.8958816226693473</v>
      </c>
      <c r="N64" s="5">
        <f t="shared" si="16"/>
        <v>3.6009259238838354E-2</v>
      </c>
      <c r="O64" s="5">
        <f t="shared" si="17"/>
        <v>3.6310325806072186E-2</v>
      </c>
    </row>
    <row r="65" spans="1:15" ht="15.6" customHeight="1" x14ac:dyDescent="0.3">
      <c r="A65" s="1">
        <v>3</v>
      </c>
      <c r="B65" s="1">
        <v>200</v>
      </c>
      <c r="C65" s="1">
        <v>1000</v>
      </c>
      <c r="D65" s="2">
        <v>0.18</v>
      </c>
      <c r="E65" s="1">
        <v>10</v>
      </c>
      <c r="F65" s="2">
        <v>0</v>
      </c>
      <c r="G65" s="2">
        <v>131.59</v>
      </c>
      <c r="H65" s="2">
        <v>16.100000000000001</v>
      </c>
      <c r="J65" s="4">
        <f t="shared" si="12"/>
        <v>0.50912670328710918</v>
      </c>
      <c r="K65" s="5">
        <f t="shared" si="13"/>
        <v>6.5892836346006023</v>
      </c>
      <c r="L65" s="5">
        <f t="shared" si="14"/>
        <v>6.5564739651112358</v>
      </c>
      <c r="M65" s="5">
        <f t="shared" si="15"/>
        <v>6.6223430595089443</v>
      </c>
      <c r="N65" s="5">
        <f t="shared" si="16"/>
        <v>3.2809669489366478E-2</v>
      </c>
      <c r="O65" s="5">
        <f t="shared" si="17"/>
        <v>3.3059424908342017E-2</v>
      </c>
    </row>
    <row r="66" spans="1:15" ht="15.6" customHeight="1" x14ac:dyDescent="0.3">
      <c r="A66" s="1">
        <v>3</v>
      </c>
      <c r="B66" s="1">
        <v>200</v>
      </c>
      <c r="C66" s="1">
        <v>1000</v>
      </c>
      <c r="D66" s="2">
        <v>0.19</v>
      </c>
      <c r="E66" s="1">
        <v>10</v>
      </c>
      <c r="F66" s="2">
        <v>0</v>
      </c>
      <c r="G66" s="2">
        <v>140.33000000000001</v>
      </c>
      <c r="H66" s="2">
        <v>17.18</v>
      </c>
      <c r="J66" s="4">
        <f t="shared" si="12"/>
        <v>0.54327930201692753</v>
      </c>
      <c r="K66" s="5">
        <f t="shared" si="13"/>
        <v>6.3100072517357297</v>
      </c>
      <c r="L66" s="5">
        <f t="shared" si="14"/>
        <v>6.2771772818478011</v>
      </c>
      <c r="M66" s="5">
        <f t="shared" si="15"/>
        <v>6.3430872873809765</v>
      </c>
      <c r="N66" s="5">
        <f t="shared" si="16"/>
        <v>3.2829969887928634E-2</v>
      </c>
      <c r="O66" s="5">
        <f t="shared" si="17"/>
        <v>3.3080035645246753E-2</v>
      </c>
    </row>
    <row r="67" spans="1:15" ht="15.6" customHeight="1" x14ac:dyDescent="0.3">
      <c r="A67" s="1">
        <v>3</v>
      </c>
      <c r="B67" s="1">
        <v>200</v>
      </c>
      <c r="C67" s="1">
        <v>1000</v>
      </c>
      <c r="D67" s="2">
        <v>0.2</v>
      </c>
      <c r="E67" s="1">
        <v>10</v>
      </c>
      <c r="F67" s="2">
        <v>0</v>
      </c>
      <c r="G67" s="2">
        <v>149.16</v>
      </c>
      <c r="H67" s="2">
        <v>17.45</v>
      </c>
      <c r="J67" s="4">
        <f t="shared" si="12"/>
        <v>0.55181745169938223</v>
      </c>
      <c r="K67" s="5">
        <f t="shared" si="13"/>
        <v>6.0449887569437415</v>
      </c>
      <c r="L67" s="5">
        <f t="shared" si="14"/>
        <v>6.0136115966270314</v>
      </c>
      <c r="M67" s="5">
        <f t="shared" si="15"/>
        <v>6.0765942635633756</v>
      </c>
      <c r="N67" s="5">
        <f t="shared" si="16"/>
        <v>3.1377160316710118E-2</v>
      </c>
      <c r="O67" s="5">
        <f t="shared" si="17"/>
        <v>3.1605506619634127E-2</v>
      </c>
    </row>
    <row r="68" spans="1:15" ht="15.6" customHeight="1" x14ac:dyDescent="0.3">
      <c r="A68" s="13" t="s">
        <v>17</v>
      </c>
      <c r="B68" s="7"/>
      <c r="C68" s="7"/>
      <c r="D68" s="8"/>
      <c r="E68" s="7"/>
      <c r="F68" s="8"/>
      <c r="G68" s="8"/>
      <c r="H68" s="8"/>
      <c r="I68" s="8"/>
      <c r="J68" s="9"/>
      <c r="K68" s="10"/>
      <c r="L68" s="10"/>
      <c r="M68" s="10"/>
      <c r="N68" s="10"/>
      <c r="O68" s="10"/>
    </row>
    <row r="69" spans="1:15" ht="15.6" customHeight="1" x14ac:dyDescent="0.3">
      <c r="A69" s="1">
        <v>4</v>
      </c>
      <c r="B69" s="1">
        <v>200</v>
      </c>
      <c r="C69" s="1">
        <v>1000</v>
      </c>
      <c r="D69" s="2">
        <v>0</v>
      </c>
      <c r="E69" s="1">
        <v>10</v>
      </c>
      <c r="F69" s="2">
        <v>0</v>
      </c>
      <c r="G69" s="2">
        <v>55.48</v>
      </c>
      <c r="H69" s="2">
        <v>42.53</v>
      </c>
      <c r="J69" s="4">
        <f t="shared" ref="J69:J89" si="18">H69/SQRT(C69)</f>
        <v>1.3449166888696118</v>
      </c>
      <c r="K69" s="5">
        <f t="shared" ref="K69:K89" si="19">-10*LOG10(G69/(B69*3))</f>
        <v>10.340147979823964</v>
      </c>
      <c r="L69" s="5">
        <f t="shared" ref="L69:L89" si="20">-10*LOG10((G69+1.96*J69)/(B69*3))</f>
        <v>10.138552609583918</v>
      </c>
      <c r="M69" s="5">
        <f t="shared" ref="M69:M89" si="21">-10*LOG10((G69-1.96*J69)/(B69*3))</f>
        <v>10.551558681945743</v>
      </c>
      <c r="N69" s="5">
        <f t="shared" ref="N69:N89" si="22">K69-L69</f>
        <v>0.20159537024004592</v>
      </c>
      <c r="O69" s="5">
        <f t="shared" ref="O69:O89" si="23">M69-K69</f>
        <v>0.21141070212177837</v>
      </c>
    </row>
    <row r="70" spans="1:15" ht="15.6" customHeight="1" x14ac:dyDescent="0.3">
      <c r="A70" s="3">
        <v>4</v>
      </c>
      <c r="B70" s="3">
        <v>200</v>
      </c>
      <c r="C70" s="3">
        <v>1000</v>
      </c>
      <c r="D70" s="4">
        <v>0.01</v>
      </c>
      <c r="E70" s="3">
        <v>10</v>
      </c>
      <c r="F70" s="4">
        <v>0</v>
      </c>
      <c r="G70" s="4">
        <v>52.22</v>
      </c>
      <c r="H70" s="4">
        <v>34.479999999999997</v>
      </c>
      <c r="I70" s="4"/>
      <c r="J70" s="4">
        <f t="shared" si="18"/>
        <v>1.0903533372260572</v>
      </c>
      <c r="K70" s="5">
        <f t="shared" si="19"/>
        <v>10.60314382896718</v>
      </c>
      <c r="L70" s="5">
        <f t="shared" si="20"/>
        <v>10.42895031300101</v>
      </c>
      <c r="M70" s="5">
        <f t="shared" si="21"/>
        <v>10.784617173864648</v>
      </c>
      <c r="N70" s="5">
        <f t="shared" si="22"/>
        <v>0.17419351596617005</v>
      </c>
      <c r="O70" s="5">
        <f t="shared" si="23"/>
        <v>0.18147334489746747</v>
      </c>
    </row>
    <row r="71" spans="1:15" ht="15.6" customHeight="1" x14ac:dyDescent="0.3">
      <c r="A71" s="3">
        <v>4</v>
      </c>
      <c r="B71" s="3">
        <v>200</v>
      </c>
      <c r="C71" s="3">
        <v>1000</v>
      </c>
      <c r="D71" s="4">
        <v>0.02</v>
      </c>
      <c r="E71" s="3">
        <v>10</v>
      </c>
      <c r="F71" s="4">
        <v>0</v>
      </c>
      <c r="G71" s="4">
        <v>54.23</v>
      </c>
      <c r="H71" s="4">
        <v>40.76</v>
      </c>
      <c r="I71" s="4"/>
      <c r="J71" s="4">
        <f t="shared" si="18"/>
        <v>1.2889443742846314</v>
      </c>
      <c r="K71" s="5">
        <f t="shared" si="19"/>
        <v>10.439116459481886</v>
      </c>
      <c r="L71" s="5">
        <f t="shared" si="20"/>
        <v>10.241369377600002</v>
      </c>
      <c r="M71" s="5">
        <f t="shared" si="21"/>
        <v>10.646298875337665</v>
      </c>
      <c r="N71" s="5">
        <f t="shared" si="22"/>
        <v>0.19774708188188406</v>
      </c>
      <c r="O71" s="5">
        <f t="shared" si="23"/>
        <v>0.20718241585577957</v>
      </c>
    </row>
    <row r="72" spans="1:15" ht="15.6" customHeight="1" x14ac:dyDescent="0.3">
      <c r="A72" s="3">
        <v>4</v>
      </c>
      <c r="B72" s="3">
        <v>200</v>
      </c>
      <c r="C72" s="3">
        <v>1000</v>
      </c>
      <c r="D72" s="4">
        <v>0.03</v>
      </c>
      <c r="E72" s="3">
        <v>10</v>
      </c>
      <c r="F72" s="4">
        <v>0</v>
      </c>
      <c r="G72" s="4">
        <v>52.38</v>
      </c>
      <c r="H72" s="4">
        <v>39.65</v>
      </c>
      <c r="I72" s="4"/>
      <c r="J72" s="4">
        <f t="shared" si="18"/>
        <v>1.2538430922567625</v>
      </c>
      <c r="K72" s="5">
        <f t="shared" si="19"/>
        <v>10.589857562944303</v>
      </c>
      <c r="L72" s="5">
        <f t="shared" si="20"/>
        <v>10.390733458919597</v>
      </c>
      <c r="M72" s="5">
        <f t="shared" si="21"/>
        <v>10.798552071194576</v>
      </c>
      <c r="N72" s="5">
        <f t="shared" si="22"/>
        <v>0.19912410402470648</v>
      </c>
      <c r="O72" s="5">
        <f t="shared" si="23"/>
        <v>0.20869450825027336</v>
      </c>
    </row>
    <row r="73" spans="1:15" ht="15.6" customHeight="1" x14ac:dyDescent="0.3">
      <c r="A73" s="3">
        <v>4</v>
      </c>
      <c r="B73" s="3">
        <v>200</v>
      </c>
      <c r="C73" s="3">
        <v>1000</v>
      </c>
      <c r="D73" s="4">
        <v>0.04</v>
      </c>
      <c r="E73" s="3">
        <v>10</v>
      </c>
      <c r="F73" s="4">
        <v>0</v>
      </c>
      <c r="G73" s="4">
        <v>49.47</v>
      </c>
      <c r="H73" s="4">
        <v>32.93</v>
      </c>
      <c r="I73" s="4"/>
      <c r="J73" s="4">
        <f t="shared" si="18"/>
        <v>1.0413380334934472</v>
      </c>
      <c r="K73" s="5">
        <f t="shared" si="19"/>
        <v>10.838093400194623</v>
      </c>
      <c r="L73" s="5">
        <f t="shared" si="20"/>
        <v>10.66251079234879</v>
      </c>
      <c r="M73" s="5">
        <f t="shared" si="21"/>
        <v>11.021074888082882</v>
      </c>
      <c r="N73" s="5">
        <f t="shared" si="22"/>
        <v>0.17558260784583268</v>
      </c>
      <c r="O73" s="5">
        <f t="shared" si="23"/>
        <v>0.18298148788825941</v>
      </c>
    </row>
    <row r="74" spans="1:15" ht="15.6" customHeight="1" x14ac:dyDescent="0.3">
      <c r="A74" s="3">
        <v>4</v>
      </c>
      <c r="B74" s="3">
        <v>200</v>
      </c>
      <c r="C74" s="3">
        <v>1000</v>
      </c>
      <c r="D74" s="4">
        <v>0.05</v>
      </c>
      <c r="E74" s="3">
        <v>10</v>
      </c>
      <c r="F74" s="4">
        <v>0</v>
      </c>
      <c r="G74" s="4">
        <v>50.84</v>
      </c>
      <c r="H74" s="4">
        <v>38.200000000000003</v>
      </c>
      <c r="I74" s="4"/>
      <c r="J74" s="4">
        <f t="shared" si="18"/>
        <v>1.207990066184321</v>
      </c>
      <c r="K74" s="5">
        <f t="shared" si="19"/>
        <v>10.71945708501673</v>
      </c>
      <c r="L74" s="5">
        <f t="shared" si="20"/>
        <v>10.521770863916181</v>
      </c>
      <c r="M74" s="5">
        <f t="shared" si="21"/>
        <v>10.926572693546404</v>
      </c>
      <c r="N74" s="5">
        <f t="shared" si="22"/>
        <v>0.19768622110054856</v>
      </c>
      <c r="O74" s="5">
        <f t="shared" si="23"/>
        <v>0.20711560852967459</v>
      </c>
    </row>
    <row r="75" spans="1:15" ht="15.6" customHeight="1" x14ac:dyDescent="0.3">
      <c r="A75" s="3">
        <v>4</v>
      </c>
      <c r="B75" s="3">
        <v>200</v>
      </c>
      <c r="C75" s="3">
        <v>1000</v>
      </c>
      <c r="D75" s="4">
        <v>0.06</v>
      </c>
      <c r="E75" s="3">
        <v>10</v>
      </c>
      <c r="F75" s="4">
        <v>0</v>
      </c>
      <c r="G75" s="4">
        <v>52.06</v>
      </c>
      <c r="H75" s="4">
        <v>36.72</v>
      </c>
      <c r="I75" s="4"/>
      <c r="J75" s="4">
        <f t="shared" si="18"/>
        <v>1.1611883568138288</v>
      </c>
      <c r="K75" s="5">
        <f t="shared" si="19"/>
        <v>10.616470866104265</v>
      </c>
      <c r="L75" s="5">
        <f t="shared" si="20"/>
        <v>10.430641522084269</v>
      </c>
      <c r="M75" s="5">
        <f t="shared" si="21"/>
        <v>10.810608445984274</v>
      </c>
      <c r="N75" s="5">
        <f t="shared" si="22"/>
        <v>0.18582934401999651</v>
      </c>
      <c r="O75" s="5">
        <f t="shared" si="23"/>
        <v>0.19413757988000846</v>
      </c>
    </row>
    <row r="76" spans="1:15" ht="15.6" customHeight="1" x14ac:dyDescent="0.3">
      <c r="A76" s="3">
        <v>4</v>
      </c>
      <c r="B76" s="3">
        <v>200</v>
      </c>
      <c r="C76" s="3">
        <v>1000</v>
      </c>
      <c r="D76" s="4">
        <v>7.0000000000000007E-2</v>
      </c>
      <c r="E76" s="3">
        <v>10</v>
      </c>
      <c r="F76" s="4">
        <v>0</v>
      </c>
      <c r="G76" s="4">
        <v>50.96</v>
      </c>
      <c r="H76" s="4">
        <v>30.38</v>
      </c>
      <c r="I76" s="4"/>
      <c r="J76" s="4">
        <f t="shared" si="18"/>
        <v>0.96069995315915369</v>
      </c>
      <c r="K76" s="5">
        <f t="shared" si="19"/>
        <v>10.709218310563495</v>
      </c>
      <c r="L76" s="5">
        <f t="shared" si="20"/>
        <v>10.551640158727674</v>
      </c>
      <c r="M76" s="5">
        <f t="shared" si="21"/>
        <v>10.872729946662279</v>
      </c>
      <c r="N76" s="5">
        <f t="shared" si="22"/>
        <v>0.15757815183582125</v>
      </c>
      <c r="O76" s="5">
        <f t="shared" si="23"/>
        <v>0.16351163609878405</v>
      </c>
    </row>
    <row r="77" spans="1:15" ht="15.6" customHeight="1" x14ac:dyDescent="0.3">
      <c r="A77" s="3">
        <v>4</v>
      </c>
      <c r="B77" s="3">
        <v>200</v>
      </c>
      <c r="C77" s="3">
        <v>1000</v>
      </c>
      <c r="D77" s="4">
        <v>0.08</v>
      </c>
      <c r="E77" s="3">
        <v>10</v>
      </c>
      <c r="F77" s="4">
        <v>0</v>
      </c>
      <c r="G77" s="4">
        <v>52.19</v>
      </c>
      <c r="H77" s="4">
        <v>28.11</v>
      </c>
      <c r="I77" s="4"/>
      <c r="J77" s="4">
        <f t="shared" si="18"/>
        <v>0.88891625027333143</v>
      </c>
      <c r="K77" s="5">
        <f t="shared" si="19"/>
        <v>10.605639535281831</v>
      </c>
      <c r="L77" s="5">
        <f t="shared" si="20"/>
        <v>10.463025032185143</v>
      </c>
      <c r="M77" s="5">
        <f t="shared" si="21"/>
        <v>10.753096717160382</v>
      </c>
      <c r="N77" s="5">
        <f t="shared" si="22"/>
        <v>0.14261450309668788</v>
      </c>
      <c r="O77" s="5">
        <f t="shared" si="23"/>
        <v>0.14745718187855061</v>
      </c>
    </row>
    <row r="78" spans="1:15" ht="15.6" customHeight="1" x14ac:dyDescent="0.3">
      <c r="A78" s="3">
        <v>4</v>
      </c>
      <c r="B78" s="3">
        <v>200</v>
      </c>
      <c r="C78" s="3">
        <v>1000</v>
      </c>
      <c r="D78" s="4">
        <v>0.09</v>
      </c>
      <c r="E78" s="3">
        <v>10</v>
      </c>
      <c r="F78" s="4">
        <v>0</v>
      </c>
      <c r="G78" s="4">
        <v>55.76</v>
      </c>
      <c r="H78" s="4">
        <v>33.92</v>
      </c>
      <c r="I78" s="4"/>
      <c r="J78" s="4">
        <f t="shared" si="18"/>
        <v>1.0726445823291144</v>
      </c>
      <c r="K78" s="5">
        <f t="shared" si="19"/>
        <v>10.318284852936907</v>
      </c>
      <c r="L78" s="5">
        <f t="shared" si="20"/>
        <v>10.15754931889915</v>
      </c>
      <c r="M78" s="5">
        <f t="shared" si="21"/>
        <v>10.485198722520328</v>
      </c>
      <c r="N78" s="5">
        <f t="shared" si="22"/>
        <v>0.16073553403775698</v>
      </c>
      <c r="O78" s="5">
        <f t="shared" si="23"/>
        <v>0.16691386958342136</v>
      </c>
    </row>
    <row r="79" spans="1:15" ht="15.6" customHeight="1" x14ac:dyDescent="0.3">
      <c r="A79" s="3">
        <v>4</v>
      </c>
      <c r="B79" s="3">
        <v>200</v>
      </c>
      <c r="C79" s="3">
        <v>1000</v>
      </c>
      <c r="D79" s="4">
        <v>0.1</v>
      </c>
      <c r="E79" s="3">
        <v>10</v>
      </c>
      <c r="F79" s="4">
        <v>0</v>
      </c>
      <c r="G79" s="4">
        <v>61.68</v>
      </c>
      <c r="H79" s="4">
        <v>39.25</v>
      </c>
      <c r="I79" s="4"/>
      <c r="J79" s="4">
        <f t="shared" si="18"/>
        <v>1.2411939816160888</v>
      </c>
      <c r="K79" s="5">
        <f t="shared" si="19"/>
        <v>9.8800688534074315</v>
      </c>
      <c r="L79" s="5">
        <f t="shared" si="20"/>
        <v>9.7120691118466755</v>
      </c>
      <c r="M79" s="5">
        <f t="shared" si="21"/>
        <v>10.054829814902309</v>
      </c>
      <c r="N79" s="5">
        <f t="shared" si="22"/>
        <v>0.16799974156075592</v>
      </c>
      <c r="O79" s="5">
        <f t="shared" si="23"/>
        <v>0.17476096149487752</v>
      </c>
    </row>
    <row r="80" spans="1:15" ht="15.6" customHeight="1" x14ac:dyDescent="0.3">
      <c r="A80" s="3">
        <v>4</v>
      </c>
      <c r="B80" s="3">
        <v>200</v>
      </c>
      <c r="C80" s="3">
        <v>1000</v>
      </c>
      <c r="D80" s="4">
        <v>0.11</v>
      </c>
      <c r="E80" s="3">
        <v>10</v>
      </c>
      <c r="F80" s="3">
        <v>0</v>
      </c>
      <c r="G80" s="4">
        <v>63.95</v>
      </c>
      <c r="H80" s="4">
        <v>38.74</v>
      </c>
      <c r="I80" s="4"/>
      <c r="J80" s="4">
        <f t="shared" si="18"/>
        <v>1.2250663655492302</v>
      </c>
      <c r="K80" s="5">
        <f t="shared" si="19"/>
        <v>9.7231070156897097</v>
      </c>
      <c r="L80" s="5">
        <f t="shared" si="20"/>
        <v>9.5630292632111882</v>
      </c>
      <c r="M80" s="5">
        <f t="shared" si="21"/>
        <v>9.8893116696656698</v>
      </c>
      <c r="N80" s="5">
        <f t="shared" si="22"/>
        <v>0.16007775247852152</v>
      </c>
      <c r="O80" s="5">
        <f t="shared" si="23"/>
        <v>0.16620465397596007</v>
      </c>
    </row>
    <row r="81" spans="1:15" ht="15.6" customHeight="1" x14ac:dyDescent="0.3">
      <c r="A81" s="3">
        <v>4</v>
      </c>
      <c r="B81" s="3">
        <v>200</v>
      </c>
      <c r="C81" s="3">
        <v>1000</v>
      </c>
      <c r="D81" s="4">
        <v>0.12</v>
      </c>
      <c r="E81" s="3">
        <v>10</v>
      </c>
      <c r="F81" s="4">
        <v>0</v>
      </c>
      <c r="G81" s="4">
        <v>70.31</v>
      </c>
      <c r="H81" s="4">
        <v>37.72</v>
      </c>
      <c r="I81" s="4"/>
      <c r="J81" s="4">
        <f t="shared" si="18"/>
        <v>1.1928111334155127</v>
      </c>
      <c r="K81" s="5">
        <f t="shared" si="19"/>
        <v>9.311341524482895</v>
      </c>
      <c r="L81" s="5">
        <f t="shared" si="20"/>
        <v>9.1692812680878681</v>
      </c>
      <c r="M81" s="5">
        <f t="shared" si="21"/>
        <v>9.4582062546602987</v>
      </c>
      <c r="N81" s="5">
        <f t="shared" si="22"/>
        <v>0.14206025639502684</v>
      </c>
      <c r="O81" s="5">
        <f t="shared" si="23"/>
        <v>0.14686473017740376</v>
      </c>
    </row>
    <row r="82" spans="1:15" ht="15.6" customHeight="1" x14ac:dyDescent="0.3">
      <c r="A82" s="3">
        <v>4</v>
      </c>
      <c r="B82" s="3">
        <v>200</v>
      </c>
      <c r="C82" s="3">
        <v>1000</v>
      </c>
      <c r="D82" s="4">
        <v>0.13</v>
      </c>
      <c r="E82" s="3">
        <v>10</v>
      </c>
      <c r="F82" s="4">
        <v>0</v>
      </c>
      <c r="G82" s="4">
        <v>79.8</v>
      </c>
      <c r="H82" s="4">
        <v>37.659999999999997</v>
      </c>
      <c r="I82" s="4"/>
      <c r="J82" s="4">
        <f t="shared" si="18"/>
        <v>1.1909137668194116</v>
      </c>
      <c r="K82" s="5">
        <f t="shared" si="19"/>
        <v>8.7614835903291421</v>
      </c>
      <c r="L82" s="5">
        <f t="shared" si="20"/>
        <v>8.6362726666094005</v>
      </c>
      <c r="M82" s="5">
        <f t="shared" si="21"/>
        <v>8.8904118957646876</v>
      </c>
      <c r="N82" s="5">
        <f t="shared" si="22"/>
        <v>0.12521092371974163</v>
      </c>
      <c r="O82" s="5">
        <f t="shared" si="23"/>
        <v>0.12892830543554545</v>
      </c>
    </row>
    <row r="83" spans="1:15" ht="15.6" customHeight="1" x14ac:dyDescent="0.3">
      <c r="A83" s="3">
        <v>4</v>
      </c>
      <c r="B83" s="3">
        <v>200</v>
      </c>
      <c r="C83" s="3">
        <v>1000</v>
      </c>
      <c r="D83" s="4">
        <v>0.14000000000000001</v>
      </c>
      <c r="E83" s="3">
        <v>10</v>
      </c>
      <c r="F83" s="4">
        <v>0</v>
      </c>
      <c r="G83" s="4">
        <v>94.7</v>
      </c>
      <c r="H83" s="4">
        <v>45.7</v>
      </c>
      <c r="I83" s="4"/>
      <c r="J83" s="4">
        <f t="shared" si="18"/>
        <v>1.4451608906969495</v>
      </c>
      <c r="K83" s="5">
        <f t="shared" si="19"/>
        <v>8.018012713803703</v>
      </c>
      <c r="L83" s="5">
        <f t="shared" si="20"/>
        <v>7.8900182564801726</v>
      </c>
      <c r="M83" s="5">
        <f t="shared" si="21"/>
        <v>8.1498942489487476</v>
      </c>
      <c r="N83" s="5">
        <f t="shared" si="22"/>
        <v>0.12799445732353032</v>
      </c>
      <c r="O83" s="5">
        <f t="shared" si="23"/>
        <v>0.13188153514504464</v>
      </c>
    </row>
    <row r="84" spans="1:15" ht="15.6" customHeight="1" x14ac:dyDescent="0.3">
      <c r="A84" s="3">
        <v>4</v>
      </c>
      <c r="B84" s="3">
        <v>200</v>
      </c>
      <c r="C84" s="3">
        <v>1000</v>
      </c>
      <c r="D84" s="4">
        <v>0.15</v>
      </c>
      <c r="E84" s="3">
        <v>10</v>
      </c>
      <c r="F84" s="4">
        <v>0</v>
      </c>
      <c r="G84" s="4">
        <v>103.39</v>
      </c>
      <c r="H84" s="4">
        <v>37.619999999999997</v>
      </c>
      <c r="I84" s="4"/>
      <c r="J84" s="4">
        <f t="shared" si="18"/>
        <v>1.1896488557553442</v>
      </c>
      <c r="K84" s="5">
        <f t="shared" si="19"/>
        <v>7.636727150574373</v>
      </c>
      <c r="L84" s="5">
        <f t="shared" si="20"/>
        <v>7.53987064135067</v>
      </c>
      <c r="M84" s="5">
        <f t="shared" si="21"/>
        <v>7.7357931263656017</v>
      </c>
      <c r="N84" s="5">
        <f t="shared" si="22"/>
        <v>9.6856509223703036E-2</v>
      </c>
      <c r="O84" s="5">
        <f t="shared" si="23"/>
        <v>9.9065975791228666E-2</v>
      </c>
    </row>
    <row r="85" spans="1:15" x14ac:dyDescent="0.3">
      <c r="A85" s="1">
        <v>4</v>
      </c>
      <c r="B85" s="1">
        <v>200</v>
      </c>
      <c r="C85" s="1">
        <v>1000</v>
      </c>
      <c r="D85" s="2">
        <v>0.16</v>
      </c>
      <c r="E85" s="1">
        <v>10</v>
      </c>
      <c r="F85" s="2">
        <v>0</v>
      </c>
      <c r="G85" s="2">
        <v>113.73</v>
      </c>
      <c r="H85" s="2">
        <v>37.270000000000003</v>
      </c>
      <c r="J85" s="4">
        <f t="shared" si="18"/>
        <v>1.1785808839447551</v>
      </c>
      <c r="K85" s="5">
        <f t="shared" si="19"/>
        <v>7.2227621123754657</v>
      </c>
      <c r="L85" s="5">
        <f t="shared" si="20"/>
        <v>7.1354346089266194</v>
      </c>
      <c r="M85" s="5">
        <f t="shared" si="21"/>
        <v>7.3118816849659476</v>
      </c>
      <c r="N85" s="5">
        <f t="shared" si="22"/>
        <v>8.7327503448846322E-2</v>
      </c>
      <c r="O85" s="5">
        <f t="shared" si="23"/>
        <v>8.9119572590481866E-2</v>
      </c>
    </row>
    <row r="86" spans="1:15" x14ac:dyDescent="0.3">
      <c r="A86" s="1">
        <v>4</v>
      </c>
      <c r="B86" s="1">
        <v>200</v>
      </c>
      <c r="C86" s="1">
        <v>1000</v>
      </c>
      <c r="D86" s="2">
        <v>0.17</v>
      </c>
      <c r="E86" s="1">
        <v>10</v>
      </c>
      <c r="F86" s="2">
        <v>0</v>
      </c>
      <c r="G86" s="2">
        <v>128.19999999999999</v>
      </c>
      <c r="H86" s="2">
        <v>43.11</v>
      </c>
      <c r="J86" s="4">
        <f t="shared" si="18"/>
        <v>1.3632578992985884</v>
      </c>
      <c r="K86" s="5">
        <f t="shared" si="19"/>
        <v>6.70263225200845</v>
      </c>
      <c r="L86" s="5">
        <f t="shared" si="20"/>
        <v>6.6130455916065571</v>
      </c>
      <c r="M86" s="5">
        <f t="shared" si="21"/>
        <v>6.7941059076114723</v>
      </c>
      <c r="N86" s="5">
        <f t="shared" si="22"/>
        <v>8.9586660401892892E-2</v>
      </c>
      <c r="O86" s="5">
        <f t="shared" si="23"/>
        <v>9.147365560302223E-2</v>
      </c>
    </row>
    <row r="87" spans="1:15" x14ac:dyDescent="0.3">
      <c r="A87" s="1">
        <v>4</v>
      </c>
      <c r="B87" s="1">
        <v>200</v>
      </c>
      <c r="C87" s="1">
        <v>1000</v>
      </c>
      <c r="D87" s="2">
        <v>0.18</v>
      </c>
      <c r="E87" s="1">
        <v>10</v>
      </c>
      <c r="F87" s="2">
        <v>0</v>
      </c>
      <c r="G87" s="2">
        <v>133.84</v>
      </c>
      <c r="H87" s="2">
        <v>39.17</v>
      </c>
      <c r="J87" s="4">
        <f t="shared" si="18"/>
        <v>1.2386641594879542</v>
      </c>
      <c r="K87" s="5">
        <f t="shared" si="19"/>
        <v>6.5156532242930556</v>
      </c>
      <c r="L87" s="5">
        <f t="shared" si="20"/>
        <v>6.4375806410910066</v>
      </c>
      <c r="M87" s="5">
        <f t="shared" si="21"/>
        <v>6.5951550410404547</v>
      </c>
      <c r="N87" s="5">
        <f t="shared" si="22"/>
        <v>7.8072583202049017E-2</v>
      </c>
      <c r="O87" s="5">
        <f t="shared" si="23"/>
        <v>7.950181674739909E-2</v>
      </c>
    </row>
    <row r="88" spans="1:15" x14ac:dyDescent="0.3">
      <c r="A88" s="1">
        <v>4</v>
      </c>
      <c r="B88" s="1">
        <v>200</v>
      </c>
      <c r="C88" s="1">
        <v>1000</v>
      </c>
      <c r="D88" s="2">
        <v>0.19</v>
      </c>
      <c r="E88" s="1">
        <v>10</v>
      </c>
      <c r="F88" s="2">
        <v>0</v>
      </c>
      <c r="G88" s="2">
        <v>141.15</v>
      </c>
      <c r="H88" s="2">
        <v>33.19</v>
      </c>
      <c r="J88" s="4">
        <f t="shared" si="18"/>
        <v>1.0495599554098851</v>
      </c>
      <c r="K88" s="5">
        <f t="shared" si="19"/>
        <v>6.2847036790070545</v>
      </c>
      <c r="L88" s="5">
        <f t="shared" si="20"/>
        <v>6.221865864265447</v>
      </c>
      <c r="M88" s="5">
        <f t="shared" si="21"/>
        <v>6.3484640552365352</v>
      </c>
      <c r="N88" s="5">
        <f t="shared" si="22"/>
        <v>6.2837814741607545E-2</v>
      </c>
      <c r="O88" s="5">
        <f t="shared" si="23"/>
        <v>6.376037622948072E-2</v>
      </c>
    </row>
    <row r="89" spans="1:15" x14ac:dyDescent="0.3">
      <c r="A89" s="1">
        <v>4</v>
      </c>
      <c r="B89" s="1">
        <v>200</v>
      </c>
      <c r="C89" s="1">
        <v>1000</v>
      </c>
      <c r="D89" s="2">
        <v>0.2</v>
      </c>
      <c r="E89" s="1">
        <v>10</v>
      </c>
      <c r="F89" s="2">
        <v>0</v>
      </c>
      <c r="G89" s="2">
        <v>154.99</v>
      </c>
      <c r="H89" s="2">
        <v>42.55</v>
      </c>
      <c r="J89" s="4">
        <f t="shared" si="18"/>
        <v>1.3455491444016454</v>
      </c>
      <c r="K89" s="5">
        <f t="shared" si="19"/>
        <v>5.8784757211606209</v>
      </c>
      <c r="L89" s="5">
        <f t="shared" si="20"/>
        <v>5.8051987903475624</v>
      </c>
      <c r="M89" s="5">
        <f t="shared" si="21"/>
        <v>5.9530102768116198</v>
      </c>
      <c r="N89" s="5">
        <f t="shared" si="22"/>
        <v>7.3276930813058527E-2</v>
      </c>
      <c r="O89" s="5">
        <f t="shared" si="23"/>
        <v>7.4534555650998868E-2</v>
      </c>
    </row>
    <row r="107" spans="10:15" ht="18.75" customHeight="1" x14ac:dyDescent="0.3">
      <c r="J107" s="4"/>
      <c r="K107" s="5"/>
      <c r="L107" s="5"/>
      <c r="M107" s="5"/>
      <c r="N107" s="5"/>
      <c r="O107" s="5"/>
    </row>
  </sheetData>
  <pageMargins left="0.7" right="0.7" top="0.75" bottom="0.75" header="0.3" footer="0.3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4E10C4-B81C-46E0-A998-430A015A3032}">
  <sheetPr codeName="Sheet6">
    <outlinePr summaryBelow="0"/>
  </sheetPr>
  <dimension ref="A1:O87"/>
  <sheetViews>
    <sheetView zoomScale="115" zoomScaleNormal="115" workbookViewId="0">
      <pane ySplit="1" topLeftCell="A2" activePane="bottomLeft" state="frozen"/>
      <selection activeCell="D25" sqref="D25"/>
      <selection pane="bottomLeft" activeCell="A54" sqref="A54:H69"/>
    </sheetView>
  </sheetViews>
  <sheetFormatPr defaultRowHeight="14.4" x14ac:dyDescent="0.3"/>
  <cols>
    <col min="1" max="1" width="13.33203125" style="1" bestFit="1" customWidth="1"/>
    <col min="2" max="2" width="10.33203125" style="1" customWidth="1"/>
    <col min="3" max="3" width="10.77734375" style="1" customWidth="1"/>
    <col min="4" max="4" width="10.21875" style="2" customWidth="1"/>
    <col min="5" max="5" width="11.77734375" style="1" customWidth="1"/>
    <col min="6" max="6" width="9.44140625" style="2" customWidth="1"/>
    <col min="7" max="9" width="10" style="2" customWidth="1"/>
    <col min="10" max="10" width="9" style="2" customWidth="1"/>
    <col min="11" max="15" width="12.44140625" style="2" customWidth="1"/>
    <col min="16" max="16" width="12.44140625" customWidth="1"/>
  </cols>
  <sheetData>
    <row r="1" spans="1:15" s="6" customFormat="1" ht="15.6" customHeight="1" x14ac:dyDescent="0.3">
      <c r="A1" s="11" t="s">
        <v>14</v>
      </c>
      <c r="B1" s="11" t="s">
        <v>0</v>
      </c>
      <c r="C1" s="11" t="s">
        <v>1</v>
      </c>
      <c r="D1" s="12" t="s">
        <v>2</v>
      </c>
      <c r="E1" s="11" t="s">
        <v>3</v>
      </c>
      <c r="F1" s="12" t="s">
        <v>4</v>
      </c>
      <c r="G1" s="12" t="s">
        <v>5</v>
      </c>
      <c r="H1" s="12" t="s">
        <v>6</v>
      </c>
      <c r="I1" s="12"/>
      <c r="J1" s="12" t="s">
        <v>7</v>
      </c>
      <c r="K1" s="12" t="s">
        <v>8</v>
      </c>
      <c r="L1" s="12" t="s">
        <v>9</v>
      </c>
      <c r="M1" s="12" t="s">
        <v>10</v>
      </c>
      <c r="N1" s="12" t="s">
        <v>11</v>
      </c>
      <c r="O1" s="12" t="s">
        <v>12</v>
      </c>
    </row>
    <row r="2" spans="1:15" ht="15.6" customHeight="1" x14ac:dyDescent="0.3">
      <c r="A2" s="13" t="s">
        <v>13</v>
      </c>
      <c r="B2" s="7"/>
      <c r="C2" s="7"/>
      <c r="D2" s="8"/>
      <c r="E2" s="7"/>
      <c r="F2" s="8"/>
      <c r="G2" s="8"/>
      <c r="H2" s="8"/>
      <c r="I2" s="8"/>
      <c r="J2" s="9"/>
      <c r="K2" s="10"/>
      <c r="L2" s="10"/>
      <c r="M2" s="10"/>
      <c r="N2" s="10"/>
      <c r="O2" s="10"/>
    </row>
    <row r="3" spans="1:15" ht="15.6" customHeight="1" x14ac:dyDescent="0.3">
      <c r="A3" s="1">
        <v>1</v>
      </c>
      <c r="B3" s="1">
        <v>200</v>
      </c>
      <c r="C3" s="1">
        <v>1000</v>
      </c>
      <c r="D3" s="2">
        <v>0.1</v>
      </c>
      <c r="E3" s="1">
        <v>5</v>
      </c>
      <c r="F3" s="2">
        <v>0</v>
      </c>
      <c r="G3" s="2">
        <v>201.8</v>
      </c>
      <c r="H3" s="2">
        <v>52.23</v>
      </c>
      <c r="J3" s="4">
        <f t="shared" ref="J3:J18" si="0">H3/SQRT(C3)</f>
        <v>1.6516576219059445</v>
      </c>
      <c r="K3" s="5">
        <f t="shared" ref="K3:K18" si="1">-10*LOG10(G3/(B3*3))</f>
        <v>4.7323008848275192</v>
      </c>
      <c r="L3" s="5">
        <f t="shared" ref="L3:L18" si="2">-10*LOG10((G3+1.96*J3)/(B3*3))</f>
        <v>4.6631848425903097</v>
      </c>
      <c r="M3" s="5">
        <f t="shared" ref="M3:M18" si="3">-10*LOG10((G3-1.96*J3)/(B3*3))</f>
        <v>4.8025346909380122</v>
      </c>
      <c r="N3" s="5">
        <f t="shared" ref="N3:N18" si="4">K3-L3</f>
        <v>6.9116042237209463E-2</v>
      </c>
      <c r="O3" s="5">
        <f t="shared" ref="O3:O18" si="5">M3-K3</f>
        <v>7.0233806110493013E-2</v>
      </c>
    </row>
    <row r="4" spans="1:15" ht="15.6" customHeight="1" x14ac:dyDescent="0.3">
      <c r="A4" s="3">
        <v>1</v>
      </c>
      <c r="B4" s="3">
        <v>200</v>
      </c>
      <c r="C4" s="3">
        <v>1000</v>
      </c>
      <c r="D4" s="4">
        <v>0.1</v>
      </c>
      <c r="E4" s="3">
        <v>6</v>
      </c>
      <c r="F4" s="4">
        <v>0</v>
      </c>
      <c r="G4" s="4">
        <v>157.69999999999999</v>
      </c>
      <c r="H4" s="4">
        <v>55.87</v>
      </c>
      <c r="I4" s="4"/>
      <c r="J4" s="4">
        <f t="shared" si="0"/>
        <v>1.7667645287360736</v>
      </c>
      <c r="K4" s="5">
        <f t="shared" si="1"/>
        <v>5.8031955705474081</v>
      </c>
      <c r="L4" s="5">
        <f t="shared" si="2"/>
        <v>5.7088628870450711</v>
      </c>
      <c r="M4" s="5">
        <f t="shared" si="3"/>
        <v>5.8996228252818916</v>
      </c>
      <c r="N4" s="5">
        <f t="shared" si="4"/>
        <v>9.4332683502337034E-2</v>
      </c>
      <c r="O4" s="5">
        <f t="shared" si="5"/>
        <v>9.6427254734483547E-2</v>
      </c>
    </row>
    <row r="5" spans="1:15" ht="15.6" customHeight="1" x14ac:dyDescent="0.3">
      <c r="A5" s="3">
        <v>1</v>
      </c>
      <c r="B5" s="3">
        <v>200</v>
      </c>
      <c r="C5" s="3">
        <v>1000</v>
      </c>
      <c r="D5" s="4">
        <v>0.1</v>
      </c>
      <c r="E5" s="3">
        <v>7</v>
      </c>
      <c r="F5" s="4">
        <v>0</v>
      </c>
      <c r="G5" s="4">
        <v>132.63999999999999</v>
      </c>
      <c r="H5" s="4">
        <v>60.51</v>
      </c>
      <c r="I5" s="4"/>
      <c r="J5" s="4">
        <f t="shared" si="0"/>
        <v>1.9134942121678864</v>
      </c>
      <c r="K5" s="5">
        <f t="shared" si="1"/>
        <v>6.5547673717744539</v>
      </c>
      <c r="L5" s="5">
        <f t="shared" si="2"/>
        <v>6.4336729238943358</v>
      </c>
      <c r="M5" s="5">
        <f t="shared" si="3"/>
        <v>6.6793353844145589</v>
      </c>
      <c r="N5" s="5">
        <f t="shared" si="4"/>
        <v>0.12109444788011814</v>
      </c>
      <c r="O5" s="5">
        <f t="shared" si="5"/>
        <v>0.12456801264010497</v>
      </c>
    </row>
    <row r="6" spans="1:15" ht="15.6" customHeight="1" x14ac:dyDescent="0.3">
      <c r="A6" s="3">
        <v>1</v>
      </c>
      <c r="B6" s="3">
        <v>200</v>
      </c>
      <c r="C6" s="3">
        <v>1000</v>
      </c>
      <c r="D6" s="4">
        <v>0.1</v>
      </c>
      <c r="E6" s="3">
        <v>8</v>
      </c>
      <c r="F6" s="4">
        <v>0</v>
      </c>
      <c r="G6" s="4">
        <v>113.87</v>
      </c>
      <c r="H6" s="4">
        <v>58.14</v>
      </c>
      <c r="I6" s="4"/>
      <c r="J6" s="4">
        <f t="shared" si="0"/>
        <v>1.8385482316218957</v>
      </c>
      <c r="K6" s="5">
        <f t="shared" si="1"/>
        <v>7.2174192973372566</v>
      </c>
      <c r="L6" s="5">
        <f t="shared" si="2"/>
        <v>7.0821114047906804</v>
      </c>
      <c r="M6" s="5">
        <f t="shared" si="3"/>
        <v>7.3570787544089971</v>
      </c>
      <c r="N6" s="5">
        <f t="shared" si="4"/>
        <v>0.13530789254657627</v>
      </c>
      <c r="O6" s="5">
        <f t="shared" si="5"/>
        <v>0.13965945707174043</v>
      </c>
    </row>
    <row r="7" spans="1:15" ht="15.6" customHeight="1" x14ac:dyDescent="0.3">
      <c r="A7" s="3">
        <v>1</v>
      </c>
      <c r="B7" s="3">
        <v>200</v>
      </c>
      <c r="C7" s="3">
        <v>1000</v>
      </c>
      <c r="D7" s="4">
        <v>0.1</v>
      </c>
      <c r="E7" s="3">
        <v>9</v>
      </c>
      <c r="F7" s="4">
        <v>0</v>
      </c>
      <c r="G7" s="4">
        <v>109.77</v>
      </c>
      <c r="H7" s="4">
        <v>65.510000000000005</v>
      </c>
      <c r="I7" s="4"/>
      <c r="J7" s="4">
        <f t="shared" si="0"/>
        <v>2.0716080951763054</v>
      </c>
      <c r="K7" s="5">
        <f t="shared" si="1"/>
        <v>7.3766758617737374</v>
      </c>
      <c r="L7" s="5">
        <f t="shared" si="2"/>
        <v>7.2189317206260126</v>
      </c>
      <c r="M7" s="5">
        <f t="shared" si="3"/>
        <v>7.5403662315287576</v>
      </c>
      <c r="N7" s="5">
        <f t="shared" si="4"/>
        <v>0.15774414114772473</v>
      </c>
      <c r="O7" s="5">
        <f t="shared" si="5"/>
        <v>0.16369036975502027</v>
      </c>
    </row>
    <row r="8" spans="1:15" ht="15.6" customHeight="1" x14ac:dyDescent="0.3">
      <c r="A8" s="3">
        <v>1</v>
      </c>
      <c r="B8" s="3">
        <v>200</v>
      </c>
      <c r="C8" s="3">
        <v>1000</v>
      </c>
      <c r="D8" s="4">
        <v>0.1</v>
      </c>
      <c r="E8" s="3">
        <v>10</v>
      </c>
      <c r="F8" s="4">
        <v>0</v>
      </c>
      <c r="G8" s="4">
        <v>100.62</v>
      </c>
      <c r="H8" s="4">
        <v>64.599999999999994</v>
      </c>
      <c r="I8" s="4"/>
      <c r="J8" s="4">
        <f t="shared" si="0"/>
        <v>2.0428313684687729</v>
      </c>
      <c r="K8" s="5">
        <f t="shared" si="1"/>
        <v>7.7546693739391426</v>
      </c>
      <c r="L8" s="5">
        <f t="shared" si="2"/>
        <v>7.585201400645226</v>
      </c>
      <c r="M8" s="5">
        <f t="shared" si="3"/>
        <v>7.9310197001085623</v>
      </c>
      <c r="N8" s="5">
        <f t="shared" si="4"/>
        <v>0.16946797329391661</v>
      </c>
      <c r="O8" s="5">
        <f t="shared" si="5"/>
        <v>0.1763503261694197</v>
      </c>
    </row>
    <row r="9" spans="1:15" ht="15.6" customHeight="1" x14ac:dyDescent="0.3">
      <c r="A9" s="3">
        <v>1</v>
      </c>
      <c r="B9" s="3">
        <v>200</v>
      </c>
      <c r="C9" s="3">
        <v>1000</v>
      </c>
      <c r="D9" s="4">
        <v>0.1</v>
      </c>
      <c r="E9" s="3">
        <v>11</v>
      </c>
      <c r="F9" s="4">
        <v>0</v>
      </c>
      <c r="G9" s="4">
        <v>97.81</v>
      </c>
      <c r="H9" s="4">
        <v>68.27</v>
      </c>
      <c r="I9" s="4"/>
      <c r="J9" s="4">
        <f t="shared" si="0"/>
        <v>2.1588869585969523</v>
      </c>
      <c r="K9" s="5">
        <f t="shared" si="1"/>
        <v>7.8776799147741006</v>
      </c>
      <c r="L9" s="5">
        <f t="shared" si="2"/>
        <v>7.693747634419327</v>
      </c>
      <c r="M9" s="5">
        <f t="shared" si="3"/>
        <v>8.0697479239598184</v>
      </c>
      <c r="N9" s="5">
        <f t="shared" si="4"/>
        <v>0.1839322803547736</v>
      </c>
      <c r="O9" s="5">
        <f t="shared" si="5"/>
        <v>0.19206800918571787</v>
      </c>
    </row>
    <row r="10" spans="1:15" ht="15.6" customHeight="1" x14ac:dyDescent="0.3">
      <c r="A10" s="3">
        <v>1</v>
      </c>
      <c r="B10" s="3">
        <v>200</v>
      </c>
      <c r="C10" s="3">
        <v>1000</v>
      </c>
      <c r="D10" s="4">
        <v>0.1</v>
      </c>
      <c r="E10" s="3">
        <v>12</v>
      </c>
      <c r="F10" s="4">
        <v>0</v>
      </c>
      <c r="G10" s="4">
        <v>89.72</v>
      </c>
      <c r="H10" s="4">
        <v>63.7</v>
      </c>
      <c r="I10" s="4"/>
      <c r="J10" s="4">
        <f t="shared" si="0"/>
        <v>2.0143708695272577</v>
      </c>
      <c r="K10" s="5">
        <f t="shared" si="1"/>
        <v>8.2526198547271363</v>
      </c>
      <c r="L10" s="5">
        <f t="shared" si="2"/>
        <v>8.0655922925840713</v>
      </c>
      <c r="M10" s="5">
        <f t="shared" si="3"/>
        <v>8.4480655856585329</v>
      </c>
      <c r="N10" s="5">
        <f t="shared" si="4"/>
        <v>0.18702756214306504</v>
      </c>
      <c r="O10" s="5">
        <f t="shared" si="5"/>
        <v>0.19544573093139661</v>
      </c>
    </row>
    <row r="11" spans="1:15" ht="15.6" customHeight="1" x14ac:dyDescent="0.3">
      <c r="A11" s="3">
        <v>1</v>
      </c>
      <c r="B11" s="3">
        <v>200</v>
      </c>
      <c r="C11" s="3">
        <v>1000</v>
      </c>
      <c r="D11" s="4">
        <v>0.1</v>
      </c>
      <c r="E11" s="3">
        <v>13</v>
      </c>
      <c r="F11" s="4">
        <v>0</v>
      </c>
      <c r="G11" s="4">
        <v>86.69</v>
      </c>
      <c r="H11" s="4">
        <v>65.400000000000006</v>
      </c>
      <c r="I11" s="4"/>
      <c r="J11" s="4">
        <f t="shared" si="0"/>
        <v>2.0681295897501202</v>
      </c>
      <c r="K11" s="5">
        <f t="shared" si="1"/>
        <v>8.401822474321909</v>
      </c>
      <c r="L11" s="5">
        <f t="shared" si="2"/>
        <v>8.2033556157843854</v>
      </c>
      <c r="M11" s="5">
        <f t="shared" si="3"/>
        <v>8.6097951432779833</v>
      </c>
      <c r="N11" s="5">
        <f t="shared" si="4"/>
        <v>0.19846685853752355</v>
      </c>
      <c r="O11" s="5">
        <f t="shared" si="5"/>
        <v>0.20797266895607436</v>
      </c>
    </row>
    <row r="12" spans="1:15" ht="15.6" customHeight="1" x14ac:dyDescent="0.3">
      <c r="A12" s="3">
        <v>1</v>
      </c>
      <c r="B12" s="3">
        <v>200</v>
      </c>
      <c r="C12" s="3">
        <v>1000</v>
      </c>
      <c r="D12" s="4">
        <v>0.1</v>
      </c>
      <c r="E12" s="3">
        <v>14</v>
      </c>
      <c r="F12" s="4">
        <v>0</v>
      </c>
      <c r="G12" s="4">
        <v>89.39</v>
      </c>
      <c r="H12" s="4">
        <v>66.83</v>
      </c>
      <c r="I12" s="4"/>
      <c r="J12" s="4">
        <f t="shared" si="0"/>
        <v>2.113350160290528</v>
      </c>
      <c r="K12" s="5">
        <f t="shared" si="1"/>
        <v>8.2686231310597158</v>
      </c>
      <c r="L12" s="5">
        <f t="shared" si="2"/>
        <v>8.0719025715449728</v>
      </c>
      <c r="M12" s="5">
        <f t="shared" si="3"/>
        <v>8.47467898851</v>
      </c>
      <c r="N12" s="5">
        <f t="shared" si="4"/>
        <v>0.19672055951474299</v>
      </c>
      <c r="O12" s="5">
        <f t="shared" si="5"/>
        <v>0.20605585745028421</v>
      </c>
    </row>
    <row r="13" spans="1:15" ht="15.6" customHeight="1" x14ac:dyDescent="0.3">
      <c r="A13" s="3">
        <v>1</v>
      </c>
      <c r="B13" s="3">
        <v>200</v>
      </c>
      <c r="C13" s="3">
        <v>1000</v>
      </c>
      <c r="D13" s="4">
        <v>0.1</v>
      </c>
      <c r="E13" s="3">
        <v>15</v>
      </c>
      <c r="F13" s="4">
        <v>0</v>
      </c>
      <c r="G13" s="4">
        <v>83.14</v>
      </c>
      <c r="H13" s="4">
        <v>66.39</v>
      </c>
      <c r="I13" s="4"/>
      <c r="J13" s="4">
        <f t="shared" si="0"/>
        <v>2.0994361385857871</v>
      </c>
      <c r="K13" s="5">
        <f t="shared" si="1"/>
        <v>8.5834123021344766</v>
      </c>
      <c r="L13" s="5">
        <f t="shared" si="2"/>
        <v>8.3736145098465258</v>
      </c>
      <c r="M13" s="5">
        <f t="shared" si="3"/>
        <v>8.8038616790286248</v>
      </c>
      <c r="N13" s="5">
        <f t="shared" si="4"/>
        <v>0.20979779228795081</v>
      </c>
      <c r="O13" s="5">
        <f t="shared" si="5"/>
        <v>0.22044937689414823</v>
      </c>
    </row>
    <row r="14" spans="1:15" ht="15.6" customHeight="1" x14ac:dyDescent="0.3">
      <c r="A14" s="3">
        <v>1</v>
      </c>
      <c r="B14" s="3">
        <v>200</v>
      </c>
      <c r="C14" s="3">
        <v>1000</v>
      </c>
      <c r="D14" s="4">
        <v>0.1</v>
      </c>
      <c r="E14" s="3">
        <v>16</v>
      </c>
      <c r="F14" s="4">
        <v>0</v>
      </c>
      <c r="G14" s="4">
        <v>86.51</v>
      </c>
      <c r="H14" s="4">
        <v>70.5</v>
      </c>
      <c r="I14" s="4"/>
      <c r="J14" s="4">
        <f t="shared" si="0"/>
        <v>2.2294057504187075</v>
      </c>
      <c r="K14" s="5">
        <f t="shared" si="1"/>
        <v>8.4108493836621552</v>
      </c>
      <c r="L14" s="5">
        <f t="shared" si="2"/>
        <v>8.1968467497651325</v>
      </c>
      <c r="M14" s="5">
        <f t="shared" si="3"/>
        <v>8.6359462345697295</v>
      </c>
      <c r="N14" s="5">
        <f t="shared" si="4"/>
        <v>0.21400263389702268</v>
      </c>
      <c r="O14" s="5">
        <f t="shared" si="5"/>
        <v>0.22509685090757436</v>
      </c>
    </row>
    <row r="15" spans="1:15" ht="15.6" customHeight="1" x14ac:dyDescent="0.3">
      <c r="A15" s="3">
        <v>1</v>
      </c>
      <c r="B15" s="3">
        <v>200</v>
      </c>
      <c r="C15" s="3">
        <v>1000</v>
      </c>
      <c r="D15" s="4">
        <v>0.1</v>
      </c>
      <c r="E15" s="3">
        <v>17</v>
      </c>
      <c r="F15" s="4">
        <v>0</v>
      </c>
      <c r="G15" s="4">
        <v>83.86</v>
      </c>
      <c r="H15" s="4">
        <v>69.209999999999994</v>
      </c>
      <c r="I15" s="4"/>
      <c r="J15" s="4">
        <f t="shared" si="0"/>
        <v>2.1886123686025352</v>
      </c>
      <c r="K15" s="5">
        <f t="shared" si="1"/>
        <v>8.5459639231609419</v>
      </c>
      <c r="L15" s="5">
        <f t="shared" si="2"/>
        <v>8.3293050912194566</v>
      </c>
      <c r="M15" s="5">
        <f t="shared" si="3"/>
        <v>8.7740014708370868</v>
      </c>
      <c r="N15" s="5">
        <f t="shared" si="4"/>
        <v>0.21665883194148527</v>
      </c>
      <c r="O15" s="5">
        <f t="shared" si="5"/>
        <v>0.22803754767614492</v>
      </c>
    </row>
    <row r="16" spans="1:15" ht="15.6" customHeight="1" x14ac:dyDescent="0.3">
      <c r="A16" s="3">
        <v>1</v>
      </c>
      <c r="B16" s="3">
        <v>200</v>
      </c>
      <c r="C16" s="3">
        <v>1000</v>
      </c>
      <c r="D16" s="4">
        <v>0.1</v>
      </c>
      <c r="E16" s="3">
        <v>18</v>
      </c>
      <c r="F16" s="4">
        <v>0</v>
      </c>
      <c r="G16" s="4">
        <v>76.13</v>
      </c>
      <c r="H16" s="4">
        <v>67.73</v>
      </c>
      <c r="I16" s="4"/>
      <c r="J16" s="4">
        <f t="shared" si="0"/>
        <v>2.1418106592320436</v>
      </c>
      <c r="K16" s="5">
        <f t="shared" si="1"/>
        <v>8.965954205903321</v>
      </c>
      <c r="L16" s="5">
        <f t="shared" si="2"/>
        <v>8.7328457262996952</v>
      </c>
      <c r="M16" s="5">
        <f t="shared" si="3"/>
        <v>9.2122880620763503</v>
      </c>
      <c r="N16" s="5">
        <f t="shared" si="4"/>
        <v>0.2331084796036258</v>
      </c>
      <c r="O16" s="5">
        <f t="shared" si="5"/>
        <v>0.24633385617302928</v>
      </c>
    </row>
    <row r="17" spans="1:15" ht="15.6" customHeight="1" x14ac:dyDescent="0.3">
      <c r="A17" s="3">
        <v>1</v>
      </c>
      <c r="B17" s="3">
        <v>200</v>
      </c>
      <c r="C17" s="3">
        <v>1000</v>
      </c>
      <c r="D17" s="4">
        <v>0.1</v>
      </c>
      <c r="E17" s="3">
        <v>19</v>
      </c>
      <c r="F17" s="4">
        <v>0</v>
      </c>
      <c r="G17" s="4">
        <v>78.16</v>
      </c>
      <c r="H17" s="4">
        <v>67.900000000000006</v>
      </c>
      <c r="I17" s="4"/>
      <c r="J17" s="4">
        <f t="shared" si="0"/>
        <v>2.1471865312543299</v>
      </c>
      <c r="K17" s="5">
        <f t="shared" si="1"/>
        <v>8.8516669967292696</v>
      </c>
      <c r="L17" s="5">
        <f t="shared" si="2"/>
        <v>8.6239016911603201</v>
      </c>
      <c r="M17" s="5">
        <f t="shared" si="3"/>
        <v>9.0920417836198908</v>
      </c>
      <c r="N17" s="5">
        <f t="shared" si="4"/>
        <v>0.22776530556894947</v>
      </c>
      <c r="O17" s="5">
        <f t="shared" si="5"/>
        <v>0.24037478689062119</v>
      </c>
    </row>
    <row r="18" spans="1:15" ht="15.6" customHeight="1" x14ac:dyDescent="0.3">
      <c r="A18" s="3">
        <v>1</v>
      </c>
      <c r="B18" s="3">
        <v>200</v>
      </c>
      <c r="C18" s="3">
        <v>1000</v>
      </c>
      <c r="D18" s="4">
        <v>0.1</v>
      </c>
      <c r="E18" s="3">
        <v>20</v>
      </c>
      <c r="F18" s="4">
        <v>0</v>
      </c>
      <c r="G18" s="4">
        <v>78.58</v>
      </c>
      <c r="H18" s="4">
        <v>68.69</v>
      </c>
      <c r="I18" s="4"/>
      <c r="J18" s="4">
        <f t="shared" si="0"/>
        <v>2.1721685247696598</v>
      </c>
      <c r="K18" s="5">
        <f t="shared" si="1"/>
        <v>8.828392259078564</v>
      </c>
      <c r="L18" s="5">
        <f t="shared" si="2"/>
        <v>8.5992452730333273</v>
      </c>
      <c r="M18" s="5">
        <f t="shared" si="3"/>
        <v>9.0703065034081867</v>
      </c>
      <c r="N18" s="5">
        <f t="shared" si="4"/>
        <v>0.22914698604523664</v>
      </c>
      <c r="O18" s="5">
        <f t="shared" si="5"/>
        <v>0.24191424432962272</v>
      </c>
    </row>
    <row r="19" spans="1:15" ht="15.6" customHeight="1" x14ac:dyDescent="0.3">
      <c r="A19" s="13" t="s">
        <v>15</v>
      </c>
      <c r="B19" s="7"/>
      <c r="C19" s="7"/>
      <c r="D19" s="8"/>
      <c r="E19" s="7"/>
      <c r="F19" s="8"/>
      <c r="G19" s="8"/>
      <c r="H19" s="8"/>
      <c r="I19" s="8"/>
      <c r="J19" s="9"/>
      <c r="K19" s="10"/>
      <c r="L19" s="10"/>
      <c r="M19" s="10"/>
      <c r="N19" s="10"/>
      <c r="O19" s="10"/>
    </row>
    <row r="20" spans="1:15" ht="15.6" customHeight="1" x14ac:dyDescent="0.3">
      <c r="A20" s="3">
        <v>2</v>
      </c>
      <c r="B20" s="3">
        <v>200</v>
      </c>
      <c r="C20" s="3">
        <v>1000</v>
      </c>
      <c r="D20" s="4">
        <v>0.1</v>
      </c>
      <c r="E20" s="3">
        <v>5</v>
      </c>
      <c r="F20" s="4">
        <v>0</v>
      </c>
      <c r="G20" s="4">
        <v>208.81</v>
      </c>
      <c r="H20" s="4">
        <v>30.47</v>
      </c>
      <c r="I20" s="4"/>
      <c r="J20" s="4">
        <f t="shared" ref="J20:J35" si="6">H20/SQRT(C20)</f>
        <v>0.96354600305330518</v>
      </c>
      <c r="K20" s="5">
        <f t="shared" ref="K20:K35" si="7">-10*LOG10(G20/(B20*3))</f>
        <v>4.5839995700732405</v>
      </c>
      <c r="L20" s="5">
        <f t="shared" ref="L20:L35" si="8">-10*LOG10((G20+1.96*J20)/(B20*3))</f>
        <v>4.5448970318123392</v>
      </c>
      <c r="M20" s="5">
        <f t="shared" ref="M20:M35" si="9">-10*LOG10((G20-1.96*J20)/(B20*3))</f>
        <v>4.6234573767005358</v>
      </c>
      <c r="N20" s="5">
        <f t="shared" ref="N20:N35" si="10">K20-L20</f>
        <v>3.9102538260901376E-2</v>
      </c>
      <c r="O20" s="5">
        <f t="shared" ref="O20:O35" si="11">M20-K20</f>
        <v>3.9457806627295255E-2</v>
      </c>
    </row>
    <row r="21" spans="1:15" ht="15.6" customHeight="1" x14ac:dyDescent="0.3">
      <c r="A21" s="3">
        <v>2</v>
      </c>
      <c r="B21" s="3">
        <v>200</v>
      </c>
      <c r="C21" s="3">
        <v>1000</v>
      </c>
      <c r="D21" s="4">
        <v>0.1</v>
      </c>
      <c r="E21" s="3">
        <v>6</v>
      </c>
      <c r="F21" s="3">
        <v>0</v>
      </c>
      <c r="G21" s="4">
        <v>154.38999999999999</v>
      </c>
      <c r="H21" s="4">
        <v>24.3</v>
      </c>
      <c r="I21" s="4"/>
      <c r="J21" s="4">
        <f t="shared" si="6"/>
        <v>0.76843347142091623</v>
      </c>
      <c r="K21" s="5">
        <f t="shared" si="7"/>
        <v>5.8953208317579495</v>
      </c>
      <c r="L21" s="5">
        <f t="shared" si="8"/>
        <v>5.8531591718644718</v>
      </c>
      <c r="M21" s="5">
        <f t="shared" si="9"/>
        <v>5.9378958163263658</v>
      </c>
      <c r="N21" s="5">
        <f t="shared" si="10"/>
        <v>4.2161659893477754E-2</v>
      </c>
      <c r="O21" s="5">
        <f t="shared" si="11"/>
        <v>4.2574984568416241E-2</v>
      </c>
    </row>
    <row r="22" spans="1:15" ht="15.6" customHeight="1" x14ac:dyDescent="0.3">
      <c r="A22" s="3">
        <v>2</v>
      </c>
      <c r="B22" s="3">
        <v>200</v>
      </c>
      <c r="C22" s="3">
        <v>1000</v>
      </c>
      <c r="D22" s="4">
        <v>0.1</v>
      </c>
      <c r="E22" s="3">
        <v>7</v>
      </c>
      <c r="F22" s="4">
        <v>0</v>
      </c>
      <c r="G22" s="4">
        <v>122.75</v>
      </c>
      <c r="H22" s="4">
        <v>24.19</v>
      </c>
      <c r="I22" s="4"/>
      <c r="J22" s="4">
        <f t="shared" si="6"/>
        <v>0.76495496599473101</v>
      </c>
      <c r="K22" s="5">
        <f t="shared" si="7"/>
        <v>6.8912974958863753</v>
      </c>
      <c r="L22" s="5">
        <f t="shared" si="8"/>
        <v>6.83857258702509</v>
      </c>
      <c r="M22" s="5">
        <f t="shared" si="9"/>
        <v>6.9446703787585831</v>
      </c>
      <c r="N22" s="5">
        <f t="shared" si="10"/>
        <v>5.2724908861285336E-2</v>
      </c>
      <c r="O22" s="5">
        <f t="shared" si="11"/>
        <v>5.3372882872207761E-2</v>
      </c>
    </row>
    <row r="23" spans="1:15" ht="15.6" customHeight="1" x14ac:dyDescent="0.3">
      <c r="A23" s="3">
        <v>2</v>
      </c>
      <c r="B23" s="3">
        <v>200</v>
      </c>
      <c r="C23" s="3">
        <v>1000</v>
      </c>
      <c r="D23" s="4">
        <v>0.1</v>
      </c>
      <c r="E23" s="3">
        <v>8</v>
      </c>
      <c r="F23" s="4">
        <v>0</v>
      </c>
      <c r="G23" s="4">
        <v>102.4</v>
      </c>
      <c r="H23" s="4">
        <v>21.22</v>
      </c>
      <c r="I23" s="4"/>
      <c r="J23" s="4">
        <f t="shared" si="6"/>
        <v>0.6710353194877301</v>
      </c>
      <c r="K23" s="5">
        <f t="shared" si="7"/>
        <v>7.6785129374383168</v>
      </c>
      <c r="L23" s="5">
        <f t="shared" si="8"/>
        <v>7.6230871884234288</v>
      </c>
      <c r="M23" s="5">
        <f t="shared" si="9"/>
        <v>7.7346551978867719</v>
      </c>
      <c r="N23" s="5">
        <f t="shared" si="10"/>
        <v>5.5425749014887948E-2</v>
      </c>
      <c r="O23" s="5">
        <f t="shared" si="11"/>
        <v>5.6142260448455161E-2</v>
      </c>
    </row>
    <row r="24" spans="1:15" ht="15.6" customHeight="1" x14ac:dyDescent="0.3">
      <c r="A24" s="3">
        <v>2</v>
      </c>
      <c r="B24" s="3">
        <v>200</v>
      </c>
      <c r="C24" s="3">
        <v>1000</v>
      </c>
      <c r="D24" s="4">
        <v>0.1</v>
      </c>
      <c r="E24" s="3">
        <v>9</v>
      </c>
      <c r="F24" s="4">
        <v>0</v>
      </c>
      <c r="G24" s="4">
        <v>87.01</v>
      </c>
      <c r="H24" s="4">
        <v>17.55</v>
      </c>
      <c r="I24" s="4"/>
      <c r="J24" s="4">
        <f t="shared" si="6"/>
        <v>0.55497972935955064</v>
      </c>
      <c r="K24" s="5">
        <f t="shared" si="7"/>
        <v>8.3858208172774198</v>
      </c>
      <c r="L24" s="5">
        <f t="shared" si="8"/>
        <v>8.3318638300385679</v>
      </c>
      <c r="M24" s="5">
        <f t="shared" si="9"/>
        <v>8.4404566114944028</v>
      </c>
      <c r="N24" s="5">
        <f t="shared" si="10"/>
        <v>5.3956987238851895E-2</v>
      </c>
      <c r="O24" s="5">
        <f t="shared" si="11"/>
        <v>5.4635794216983058E-2</v>
      </c>
    </row>
    <row r="25" spans="1:15" ht="15.6" customHeight="1" x14ac:dyDescent="0.3">
      <c r="A25" s="3">
        <v>2</v>
      </c>
      <c r="B25" s="3">
        <v>200</v>
      </c>
      <c r="C25" s="3">
        <v>1000</v>
      </c>
      <c r="D25" s="14">
        <v>0.1</v>
      </c>
      <c r="E25" s="3">
        <v>10</v>
      </c>
      <c r="F25" s="4">
        <v>0</v>
      </c>
      <c r="G25" s="4">
        <v>75.88</v>
      </c>
      <c r="H25" s="4">
        <v>15.18</v>
      </c>
      <c r="I25" s="4"/>
      <c r="J25" s="4">
        <f t="shared" si="6"/>
        <v>0.48003374881355998</v>
      </c>
      <c r="K25" s="5">
        <f t="shared" si="7"/>
        <v>8.9802392816701868</v>
      </c>
      <c r="L25" s="5">
        <f t="shared" si="8"/>
        <v>8.9267205089951389</v>
      </c>
      <c r="M25" s="5">
        <f t="shared" si="9"/>
        <v>9.03442581179233</v>
      </c>
      <c r="N25" s="5">
        <f t="shared" si="10"/>
        <v>5.3518772675047899E-2</v>
      </c>
      <c r="O25" s="5">
        <f t="shared" si="11"/>
        <v>5.4186530122143139E-2</v>
      </c>
    </row>
    <row r="26" spans="1:15" ht="15.6" customHeight="1" x14ac:dyDescent="0.3">
      <c r="A26" s="3">
        <v>2</v>
      </c>
      <c r="B26" s="3">
        <v>200</v>
      </c>
      <c r="C26" s="3">
        <v>1000</v>
      </c>
      <c r="D26" s="4">
        <v>0.1</v>
      </c>
      <c r="E26" s="3">
        <v>11</v>
      </c>
      <c r="F26" s="4">
        <v>0</v>
      </c>
      <c r="G26" s="4">
        <v>71</v>
      </c>
      <c r="H26" s="4">
        <v>16.16</v>
      </c>
      <c r="I26" s="4"/>
      <c r="J26" s="4">
        <f t="shared" si="6"/>
        <v>0.51102406988321014</v>
      </c>
      <c r="K26" s="5">
        <f t="shared" si="7"/>
        <v>9.2689290166456839</v>
      </c>
      <c r="L26" s="5">
        <f t="shared" si="8"/>
        <v>9.208090597815433</v>
      </c>
      <c r="M26" s="5">
        <f t="shared" si="9"/>
        <v>9.3306318174228533</v>
      </c>
      <c r="N26" s="5">
        <f t="shared" si="10"/>
        <v>6.0838418830250873E-2</v>
      </c>
      <c r="O26" s="5">
        <f t="shared" si="11"/>
        <v>6.1702800777169386E-2</v>
      </c>
    </row>
    <row r="27" spans="1:15" ht="15.6" customHeight="1" x14ac:dyDescent="0.3">
      <c r="A27" s="3">
        <v>2</v>
      </c>
      <c r="B27" s="3">
        <v>200</v>
      </c>
      <c r="C27" s="3">
        <v>1000</v>
      </c>
      <c r="D27" s="4">
        <v>0.1</v>
      </c>
      <c r="E27" s="3">
        <v>12</v>
      </c>
      <c r="F27" s="4">
        <v>0</v>
      </c>
      <c r="G27" s="4">
        <v>64.56</v>
      </c>
      <c r="H27" s="4">
        <v>13.69</v>
      </c>
      <c r="I27" s="4"/>
      <c r="J27" s="4">
        <f t="shared" si="6"/>
        <v>0.43291581167705112</v>
      </c>
      <c r="K27" s="5">
        <f t="shared" si="7"/>
        <v>9.681877286696297</v>
      </c>
      <c r="L27" s="5">
        <f t="shared" si="8"/>
        <v>9.6251696119028729</v>
      </c>
      <c r="M27" s="5">
        <f t="shared" si="9"/>
        <v>9.7393352249910432</v>
      </c>
      <c r="N27" s="5">
        <f t="shared" si="10"/>
        <v>5.670767479342409E-2</v>
      </c>
      <c r="O27" s="5">
        <f t="shared" si="11"/>
        <v>5.7457938294746214E-2</v>
      </c>
    </row>
    <row r="28" spans="1:15" ht="15.6" customHeight="1" x14ac:dyDescent="0.3">
      <c r="A28" s="3">
        <v>2</v>
      </c>
      <c r="B28" s="3">
        <v>200</v>
      </c>
      <c r="C28" s="3">
        <v>1000</v>
      </c>
      <c r="D28" s="4">
        <v>0.1</v>
      </c>
      <c r="E28" s="3">
        <v>13</v>
      </c>
      <c r="F28" s="3">
        <v>0</v>
      </c>
      <c r="G28" s="4">
        <v>60.38</v>
      </c>
      <c r="H28" s="4">
        <v>14.47</v>
      </c>
      <c r="I28" s="4"/>
      <c r="J28" s="4">
        <f t="shared" si="6"/>
        <v>0.45758157742636452</v>
      </c>
      <c r="K28" s="5">
        <f t="shared" si="7"/>
        <v>9.9725814169656459</v>
      </c>
      <c r="L28" s="5">
        <f t="shared" si="8"/>
        <v>9.9085474843638774</v>
      </c>
      <c r="M28" s="5">
        <f t="shared" si="9"/>
        <v>10.037573635719443</v>
      </c>
      <c r="N28" s="5">
        <f t="shared" si="10"/>
        <v>6.4033932601768484E-2</v>
      </c>
      <c r="O28" s="5">
        <f t="shared" si="11"/>
        <v>6.4992218753797459E-2</v>
      </c>
    </row>
    <row r="29" spans="1:15" ht="15.6" customHeight="1" x14ac:dyDescent="0.3">
      <c r="A29" s="3">
        <v>2</v>
      </c>
      <c r="B29" s="3">
        <v>200</v>
      </c>
      <c r="C29" s="3">
        <v>1000</v>
      </c>
      <c r="D29" s="4">
        <v>0.1</v>
      </c>
      <c r="E29" s="3">
        <v>14</v>
      </c>
      <c r="F29" s="4">
        <v>0</v>
      </c>
      <c r="G29" s="4">
        <v>57.45</v>
      </c>
      <c r="H29" s="4">
        <v>14.77</v>
      </c>
      <c r="I29" s="4"/>
      <c r="J29" s="4">
        <f t="shared" si="6"/>
        <v>0.46706841040686964</v>
      </c>
      <c r="K29" s="5">
        <f t="shared" si="7"/>
        <v>10.188612173593397</v>
      </c>
      <c r="L29" s="5">
        <f t="shared" si="8"/>
        <v>10.119953816913405</v>
      </c>
      <c r="M29" s="5">
        <f t="shared" si="9"/>
        <v>10.258373421093667</v>
      </c>
      <c r="N29" s="5">
        <f t="shared" si="10"/>
        <v>6.8658356679991428E-2</v>
      </c>
      <c r="O29" s="5">
        <f t="shared" si="11"/>
        <v>6.9761247500270684E-2</v>
      </c>
    </row>
    <row r="30" spans="1:15" ht="15.6" customHeight="1" x14ac:dyDescent="0.3">
      <c r="A30" s="3">
        <v>2</v>
      </c>
      <c r="B30" s="3">
        <v>200</v>
      </c>
      <c r="C30" s="3">
        <v>1000</v>
      </c>
      <c r="D30" s="4">
        <v>0.1</v>
      </c>
      <c r="E30" s="3">
        <v>15</v>
      </c>
      <c r="F30" s="3">
        <v>0</v>
      </c>
      <c r="G30" s="4">
        <v>54.92</v>
      </c>
      <c r="H30" s="4">
        <v>12.21</v>
      </c>
      <c r="I30" s="4"/>
      <c r="J30" s="4">
        <f t="shared" si="6"/>
        <v>0.38611410230655913</v>
      </c>
      <c r="K30" s="5">
        <f t="shared" si="7"/>
        <v>10.38420721818926</v>
      </c>
      <c r="L30" s="5">
        <f t="shared" si="8"/>
        <v>10.324771115598674</v>
      </c>
      <c r="M30" s="5">
        <f t="shared" si="9"/>
        <v>10.444468043502319</v>
      </c>
      <c r="N30" s="5">
        <f t="shared" si="10"/>
        <v>5.9436102590586515E-2</v>
      </c>
      <c r="O30" s="5">
        <f t="shared" si="11"/>
        <v>6.0260825313058319E-2</v>
      </c>
    </row>
    <row r="31" spans="1:15" ht="15.6" customHeight="1" x14ac:dyDescent="0.3">
      <c r="A31" s="3">
        <v>2</v>
      </c>
      <c r="B31" s="3">
        <v>200</v>
      </c>
      <c r="C31" s="3">
        <v>1000</v>
      </c>
      <c r="D31" s="4">
        <v>0.1</v>
      </c>
      <c r="E31" s="3">
        <v>16</v>
      </c>
      <c r="F31" s="3">
        <v>0</v>
      </c>
      <c r="G31" s="4">
        <v>52.6</v>
      </c>
      <c r="H31" s="4">
        <v>15.85</v>
      </c>
      <c r="I31" s="4"/>
      <c r="J31" s="4">
        <f t="shared" si="6"/>
        <v>0.5012210091366881</v>
      </c>
      <c r="K31" s="5">
        <f t="shared" si="7"/>
        <v>10.571655062299046</v>
      </c>
      <c r="L31" s="5">
        <f t="shared" si="8"/>
        <v>10.491291435610821</v>
      </c>
      <c r="M31" s="5">
        <f t="shared" si="9"/>
        <v>10.653533851632616</v>
      </c>
      <c r="N31" s="5">
        <f t="shared" si="10"/>
        <v>8.0363626688225054E-2</v>
      </c>
      <c r="O31" s="5">
        <f t="shared" si="11"/>
        <v>8.1878789333570623E-2</v>
      </c>
    </row>
    <row r="32" spans="1:15" ht="15.6" customHeight="1" x14ac:dyDescent="0.3">
      <c r="A32" s="3">
        <v>2</v>
      </c>
      <c r="B32" s="3">
        <v>200</v>
      </c>
      <c r="C32" s="3">
        <v>1000</v>
      </c>
      <c r="D32" s="4">
        <v>0.1</v>
      </c>
      <c r="E32" s="3">
        <v>17</v>
      </c>
      <c r="F32" s="4">
        <v>0</v>
      </c>
      <c r="G32" s="4">
        <v>48.57</v>
      </c>
      <c r="H32" s="4">
        <v>11.74</v>
      </c>
      <c r="I32" s="4"/>
      <c r="J32" s="4">
        <f t="shared" si="6"/>
        <v>0.37125139730376777</v>
      </c>
      <c r="K32" s="5">
        <f t="shared" si="7"/>
        <v>10.917831469106074</v>
      </c>
      <c r="L32" s="5">
        <f t="shared" si="8"/>
        <v>10.853250091366784</v>
      </c>
      <c r="M32" s="5">
        <f t="shared" si="9"/>
        <v>10.983387713427561</v>
      </c>
      <c r="N32" s="5">
        <f t="shared" si="10"/>
        <v>6.4581377739290957E-2</v>
      </c>
      <c r="O32" s="5">
        <f t="shared" si="11"/>
        <v>6.5556244321486545E-2</v>
      </c>
    </row>
    <row r="33" spans="1:15" ht="15.6" customHeight="1" x14ac:dyDescent="0.3">
      <c r="A33" s="3">
        <v>2</v>
      </c>
      <c r="B33" s="3">
        <v>200</v>
      </c>
      <c r="C33" s="3">
        <v>1000</v>
      </c>
      <c r="D33" s="4">
        <v>0.1</v>
      </c>
      <c r="E33" s="3">
        <v>18</v>
      </c>
      <c r="F33" s="4">
        <v>0</v>
      </c>
      <c r="G33" s="4">
        <v>46.78</v>
      </c>
      <c r="H33" s="4">
        <v>13.7</v>
      </c>
      <c r="I33" s="4"/>
      <c r="J33" s="4">
        <f t="shared" si="6"/>
        <v>0.43323203944306793</v>
      </c>
      <c r="K33" s="5">
        <f t="shared" si="7"/>
        <v>11.080910329105095</v>
      </c>
      <c r="L33" s="5">
        <f t="shared" si="8"/>
        <v>11.00278557937086</v>
      </c>
      <c r="M33" s="5">
        <f t="shared" si="9"/>
        <v>11.160466240552996</v>
      </c>
      <c r="N33" s="5">
        <f t="shared" si="10"/>
        <v>7.8124749734234555E-2</v>
      </c>
      <c r="O33" s="5">
        <f t="shared" si="11"/>
        <v>7.9555911447901195E-2</v>
      </c>
    </row>
    <row r="34" spans="1:15" ht="15.6" customHeight="1" x14ac:dyDescent="0.3">
      <c r="A34" s="3">
        <v>2</v>
      </c>
      <c r="B34" s="3">
        <v>200</v>
      </c>
      <c r="C34" s="3">
        <v>1000</v>
      </c>
      <c r="D34" s="4">
        <v>0.1</v>
      </c>
      <c r="E34" s="3">
        <v>19</v>
      </c>
      <c r="F34" s="4">
        <v>0</v>
      </c>
      <c r="G34" s="4">
        <v>46.26</v>
      </c>
      <c r="H34" s="4">
        <v>14.06</v>
      </c>
      <c r="I34" s="4"/>
      <c r="J34" s="4">
        <f t="shared" si="6"/>
        <v>0.44461623901967418</v>
      </c>
      <c r="K34" s="5">
        <f t="shared" si="7"/>
        <v>11.129456219490431</v>
      </c>
      <c r="L34" s="5">
        <f t="shared" si="8"/>
        <v>11.048404693496373</v>
      </c>
      <c r="M34" s="5">
        <f t="shared" si="9"/>
        <v>11.212049207790962</v>
      </c>
      <c r="N34" s="5">
        <f t="shared" si="10"/>
        <v>8.1051525994057627E-2</v>
      </c>
      <c r="O34" s="5">
        <f t="shared" si="11"/>
        <v>8.2592988300531189E-2</v>
      </c>
    </row>
    <row r="35" spans="1:15" ht="15.6" customHeight="1" x14ac:dyDescent="0.3">
      <c r="A35" s="3">
        <v>2</v>
      </c>
      <c r="B35" s="3">
        <v>200</v>
      </c>
      <c r="C35" s="3">
        <v>1000</v>
      </c>
      <c r="D35" s="4">
        <v>0.1</v>
      </c>
      <c r="E35" s="3">
        <v>20</v>
      </c>
      <c r="F35" s="4">
        <v>0</v>
      </c>
      <c r="G35" s="4">
        <v>43.46</v>
      </c>
      <c r="H35" s="4">
        <v>10.76</v>
      </c>
      <c r="I35" s="4"/>
      <c r="J35" s="4">
        <f t="shared" si="6"/>
        <v>0.34026107623411761</v>
      </c>
      <c r="K35" s="5">
        <f t="shared" si="7"/>
        <v>11.40061528399138</v>
      </c>
      <c r="L35" s="5">
        <f t="shared" si="8"/>
        <v>11.334477166480021</v>
      </c>
      <c r="M35" s="5">
        <f t="shared" si="9"/>
        <v>11.467776206148336</v>
      </c>
      <c r="N35" s="5">
        <f t="shared" si="10"/>
        <v>6.613811751135934E-2</v>
      </c>
      <c r="O35" s="5">
        <f t="shared" si="11"/>
        <v>6.716092215695646E-2</v>
      </c>
    </row>
    <row r="36" spans="1:15" ht="15.6" customHeight="1" x14ac:dyDescent="0.3">
      <c r="A36" s="13" t="s">
        <v>16</v>
      </c>
      <c r="B36" s="7"/>
      <c r="C36" s="7"/>
      <c r="D36" s="8"/>
      <c r="E36" s="7"/>
      <c r="F36" s="8"/>
      <c r="G36" s="8"/>
      <c r="H36" s="8"/>
      <c r="I36" s="8"/>
      <c r="J36" s="9"/>
      <c r="K36" s="10"/>
      <c r="L36" s="10"/>
      <c r="M36" s="10"/>
      <c r="N36" s="10"/>
      <c r="O36" s="10"/>
    </row>
    <row r="37" spans="1:15" ht="15.6" customHeight="1" x14ac:dyDescent="0.3">
      <c r="A37" s="1">
        <v>3</v>
      </c>
      <c r="B37" s="1">
        <v>200</v>
      </c>
      <c r="C37" s="1">
        <v>1000</v>
      </c>
      <c r="D37" s="2">
        <v>0.1</v>
      </c>
      <c r="E37" s="1">
        <v>5</v>
      </c>
      <c r="F37" s="2">
        <v>0</v>
      </c>
      <c r="G37" s="2">
        <v>192.17</v>
      </c>
      <c r="H37" s="2">
        <v>21.31</v>
      </c>
      <c r="J37" s="4">
        <f t="shared" ref="J37:J52" si="12">H37/SQRT(C37)</f>
        <v>0.67388136938188159</v>
      </c>
      <c r="K37" s="5">
        <f t="shared" ref="K37:K52" si="13">-10*LOG10(G37/(B37*3))</f>
        <v>4.9446566024248764</v>
      </c>
      <c r="L37" s="5">
        <f t="shared" ref="L37:L52" si="14">-10*LOG10((G37+1.96*J37)/(B37*3))</f>
        <v>4.9149091334814923</v>
      </c>
      <c r="M37" s="5">
        <f t="shared" ref="M37:M52" si="15">-10*LOG10((G37-1.96*J37)/(B37*3))</f>
        <v>4.9746092359699245</v>
      </c>
      <c r="N37" s="5">
        <f t="shared" ref="N37:N52" si="16">K37-L37</f>
        <v>2.9747468943384092E-2</v>
      </c>
      <c r="O37" s="5">
        <f t="shared" ref="O37:O52" si="17">M37-K37</f>
        <v>2.995263354504818E-2</v>
      </c>
    </row>
    <row r="38" spans="1:15" ht="15.6" customHeight="1" x14ac:dyDescent="0.3">
      <c r="A38" s="1">
        <v>3</v>
      </c>
      <c r="B38" s="1">
        <v>200</v>
      </c>
      <c r="C38" s="1">
        <v>1000</v>
      </c>
      <c r="D38" s="2">
        <v>0.1</v>
      </c>
      <c r="E38" s="1">
        <v>6</v>
      </c>
      <c r="F38" s="2">
        <v>0</v>
      </c>
      <c r="G38" s="2">
        <v>145.06</v>
      </c>
      <c r="H38" s="2">
        <v>19.95</v>
      </c>
      <c r="J38" s="4">
        <f t="shared" si="12"/>
        <v>0.63087439320359162</v>
      </c>
      <c r="K38" s="5">
        <f t="shared" si="13"/>
        <v>6.1660357725791615</v>
      </c>
      <c r="L38" s="5">
        <f t="shared" si="14"/>
        <v>6.1291727320449976</v>
      </c>
      <c r="M38" s="5">
        <f t="shared" si="15"/>
        <v>6.2032143881827757</v>
      </c>
      <c r="N38" s="5">
        <f t="shared" si="16"/>
        <v>3.6863040534163893E-2</v>
      </c>
      <c r="O38" s="5">
        <f t="shared" si="17"/>
        <v>3.717861560361424E-2</v>
      </c>
    </row>
    <row r="39" spans="1:15" ht="15.6" customHeight="1" x14ac:dyDescent="0.3">
      <c r="A39" s="1">
        <v>3</v>
      </c>
      <c r="B39" s="1">
        <v>200</v>
      </c>
      <c r="C39" s="1">
        <v>1000</v>
      </c>
      <c r="D39" s="2">
        <v>0.1</v>
      </c>
      <c r="E39" s="1">
        <v>7</v>
      </c>
      <c r="F39" s="2">
        <v>0</v>
      </c>
      <c r="G39" s="2">
        <v>117.93</v>
      </c>
      <c r="H39" s="2">
        <v>19.43</v>
      </c>
      <c r="J39" s="4">
        <f t="shared" si="12"/>
        <v>0.61443054937071606</v>
      </c>
      <c r="K39" s="5">
        <f t="shared" si="13"/>
        <v>7.06526951843892</v>
      </c>
      <c r="L39" s="5">
        <f t="shared" si="14"/>
        <v>7.0211449178996768</v>
      </c>
      <c r="M39" s="5">
        <f t="shared" si="15"/>
        <v>7.1098470333518371</v>
      </c>
      <c r="N39" s="5">
        <f t="shared" si="16"/>
        <v>4.4124600539243275E-2</v>
      </c>
      <c r="O39" s="5">
        <f t="shared" si="17"/>
        <v>4.457751491291706E-2</v>
      </c>
    </row>
    <row r="40" spans="1:15" ht="15.6" customHeight="1" x14ac:dyDescent="0.3">
      <c r="A40" s="1">
        <v>3</v>
      </c>
      <c r="B40" s="1">
        <v>200</v>
      </c>
      <c r="C40" s="1">
        <v>1000</v>
      </c>
      <c r="D40" s="2">
        <v>0.1</v>
      </c>
      <c r="E40" s="1">
        <v>8</v>
      </c>
      <c r="F40" s="2">
        <v>0</v>
      </c>
      <c r="G40" s="2">
        <v>102.66</v>
      </c>
      <c r="H40" s="2">
        <v>19.12</v>
      </c>
      <c r="J40" s="4">
        <f t="shared" si="12"/>
        <v>0.60462748862419413</v>
      </c>
      <c r="K40" s="5">
        <f t="shared" si="13"/>
        <v>7.6674999045889969</v>
      </c>
      <c r="L40" s="5">
        <f t="shared" si="14"/>
        <v>7.6176536747818249</v>
      </c>
      <c r="M40" s="5">
        <f t="shared" si="15"/>
        <v>7.7179248945824233</v>
      </c>
      <c r="N40" s="5">
        <f t="shared" si="16"/>
        <v>4.9846229807172016E-2</v>
      </c>
      <c r="O40" s="5">
        <f t="shared" si="17"/>
        <v>5.0424989993426372E-2</v>
      </c>
    </row>
    <row r="41" spans="1:15" ht="15.6" customHeight="1" x14ac:dyDescent="0.3">
      <c r="A41" s="1">
        <v>3</v>
      </c>
      <c r="B41" s="1">
        <v>200</v>
      </c>
      <c r="C41" s="1">
        <v>1000</v>
      </c>
      <c r="D41" s="2">
        <v>0.1</v>
      </c>
      <c r="E41" s="1">
        <v>9</v>
      </c>
      <c r="F41" s="2">
        <v>0</v>
      </c>
      <c r="G41" s="2">
        <v>92.48</v>
      </c>
      <c r="H41" s="2">
        <v>17.829999999999998</v>
      </c>
      <c r="J41" s="4">
        <f t="shared" si="12"/>
        <v>0.56383410680802204</v>
      </c>
      <c r="K41" s="5">
        <f t="shared" si="13"/>
        <v>8.1210342930718973</v>
      </c>
      <c r="L41" s="5">
        <f t="shared" si="14"/>
        <v>8.0694447272323764</v>
      </c>
      <c r="M41" s="5">
        <f t="shared" si="15"/>
        <v>8.1732440628330885</v>
      </c>
      <c r="N41" s="5">
        <f t="shared" si="16"/>
        <v>5.1589565839520901E-2</v>
      </c>
      <c r="O41" s="5">
        <f t="shared" si="17"/>
        <v>5.2209769761191183E-2</v>
      </c>
    </row>
    <row r="42" spans="1:15" ht="15.6" customHeight="1" x14ac:dyDescent="0.3">
      <c r="A42" s="1">
        <v>3</v>
      </c>
      <c r="B42" s="1">
        <v>200</v>
      </c>
      <c r="C42" s="1">
        <v>1000</v>
      </c>
      <c r="D42" s="2">
        <v>0.1</v>
      </c>
      <c r="E42" s="1">
        <v>10</v>
      </c>
      <c r="F42" s="2">
        <v>0</v>
      </c>
      <c r="G42" s="2">
        <v>84.66</v>
      </c>
      <c r="H42" s="2">
        <v>16.89</v>
      </c>
      <c r="J42" s="4">
        <f t="shared" si="12"/>
        <v>0.53410869680243933</v>
      </c>
      <c r="K42" s="5">
        <f t="shared" si="13"/>
        <v>8.5047298624565215</v>
      </c>
      <c r="L42" s="5">
        <f t="shared" si="14"/>
        <v>8.451357012614487</v>
      </c>
      <c r="M42" s="5">
        <f t="shared" si="15"/>
        <v>8.558766810691635</v>
      </c>
      <c r="N42" s="5">
        <f t="shared" si="16"/>
        <v>5.3372849842034498E-2</v>
      </c>
      <c r="O42" s="5">
        <f t="shared" si="17"/>
        <v>5.4036948235113513E-2</v>
      </c>
    </row>
    <row r="43" spans="1:15" ht="15.6" customHeight="1" x14ac:dyDescent="0.3">
      <c r="A43" s="1">
        <v>3</v>
      </c>
      <c r="B43" s="1">
        <v>200</v>
      </c>
      <c r="C43" s="1">
        <v>1000</v>
      </c>
      <c r="D43" s="2">
        <v>0.1</v>
      </c>
      <c r="E43" s="1">
        <v>11</v>
      </c>
      <c r="F43" s="2">
        <v>0</v>
      </c>
      <c r="G43" s="2">
        <v>79.430000000000007</v>
      </c>
      <c r="H43" s="2">
        <v>16.350000000000001</v>
      </c>
      <c r="J43" s="4">
        <f t="shared" si="12"/>
        <v>0.51703239743753004</v>
      </c>
      <c r="K43" s="5">
        <f t="shared" si="13"/>
        <v>8.7816668783425254</v>
      </c>
      <c r="L43" s="5">
        <f t="shared" si="14"/>
        <v>8.726609213774827</v>
      </c>
      <c r="M43" s="5">
        <f t="shared" si="15"/>
        <v>8.837431508361405</v>
      </c>
      <c r="N43" s="5">
        <f t="shared" si="16"/>
        <v>5.5057664567698339E-2</v>
      </c>
      <c r="O43" s="5">
        <f t="shared" si="17"/>
        <v>5.5764630018879657E-2</v>
      </c>
    </row>
    <row r="44" spans="1:15" ht="15.6" customHeight="1" x14ac:dyDescent="0.3">
      <c r="A44" s="1">
        <v>3</v>
      </c>
      <c r="B44" s="1">
        <v>200</v>
      </c>
      <c r="C44" s="1">
        <v>1000</v>
      </c>
      <c r="D44" s="2">
        <v>0.1</v>
      </c>
      <c r="E44" s="1">
        <v>12</v>
      </c>
      <c r="F44" s="2">
        <v>0</v>
      </c>
      <c r="G44" s="2">
        <v>74.260000000000005</v>
      </c>
      <c r="H44" s="2">
        <v>15.77</v>
      </c>
      <c r="J44" s="4">
        <f t="shared" si="12"/>
        <v>0.49869118700855342</v>
      </c>
      <c r="K44" s="5">
        <f t="shared" si="13"/>
        <v>9.0739630549350352</v>
      </c>
      <c r="L44" s="5">
        <f t="shared" si="14"/>
        <v>9.0171727082989275</v>
      </c>
      <c r="M44" s="5">
        <f t="shared" si="15"/>
        <v>9.1315058687709687</v>
      </c>
      <c r="N44" s="5">
        <f t="shared" si="16"/>
        <v>5.6790346636107714E-2</v>
      </c>
      <c r="O44" s="5">
        <f t="shared" si="17"/>
        <v>5.7542813835933515E-2</v>
      </c>
    </row>
    <row r="45" spans="1:15" ht="15.6" customHeight="1" x14ac:dyDescent="0.3">
      <c r="A45" s="1">
        <v>3</v>
      </c>
      <c r="B45" s="1">
        <v>200</v>
      </c>
      <c r="C45" s="1">
        <v>1000</v>
      </c>
      <c r="D45" s="2">
        <v>0.1</v>
      </c>
      <c r="E45" s="1">
        <v>13</v>
      </c>
      <c r="F45" s="2">
        <v>0</v>
      </c>
      <c r="G45" s="2">
        <v>71.11</v>
      </c>
      <c r="H45" s="2">
        <v>16.32</v>
      </c>
      <c r="J45" s="4">
        <f t="shared" si="12"/>
        <v>0.51608371413947951</v>
      </c>
      <c r="K45" s="5">
        <f t="shared" si="13"/>
        <v>9.262205717433762</v>
      </c>
      <c r="L45" s="5">
        <f t="shared" si="14"/>
        <v>9.2008635467915028</v>
      </c>
      <c r="M45" s="5">
        <f t="shared" si="15"/>
        <v>9.3244267473659921</v>
      </c>
      <c r="N45" s="5">
        <f t="shared" si="16"/>
        <v>6.1342170642259219E-2</v>
      </c>
      <c r="O45" s="5">
        <f t="shared" si="17"/>
        <v>6.222102993223011E-2</v>
      </c>
    </row>
    <row r="46" spans="1:15" ht="15.6" customHeight="1" x14ac:dyDescent="0.3">
      <c r="A46" s="1">
        <v>3</v>
      </c>
      <c r="B46" s="1">
        <v>200</v>
      </c>
      <c r="C46" s="1">
        <v>1000</v>
      </c>
      <c r="D46" s="2">
        <v>0.1</v>
      </c>
      <c r="E46" s="1">
        <v>14</v>
      </c>
      <c r="F46" s="2">
        <v>0</v>
      </c>
      <c r="G46" s="2">
        <v>68.489999999999995</v>
      </c>
      <c r="H46" s="2">
        <v>15.58</v>
      </c>
      <c r="J46" s="4">
        <f t="shared" si="12"/>
        <v>0.49268285945423351</v>
      </c>
      <c r="K46" s="5">
        <f t="shared" si="13"/>
        <v>9.4252408417374607</v>
      </c>
      <c r="L46" s="5">
        <f t="shared" si="14"/>
        <v>9.3644361782244943</v>
      </c>
      <c r="M46" s="5">
        <f t="shared" si="15"/>
        <v>9.4869089214612359</v>
      </c>
      <c r="N46" s="5">
        <f t="shared" si="16"/>
        <v>6.0804663512966428E-2</v>
      </c>
      <c r="O46" s="5">
        <f t="shared" si="17"/>
        <v>6.1668079723775193E-2</v>
      </c>
    </row>
    <row r="47" spans="1:15" ht="15.6" customHeight="1" x14ac:dyDescent="0.3">
      <c r="A47" s="1">
        <v>3</v>
      </c>
      <c r="B47" s="1">
        <v>200</v>
      </c>
      <c r="C47" s="1">
        <v>1000</v>
      </c>
      <c r="D47" s="2">
        <v>0.1</v>
      </c>
      <c r="E47" s="1">
        <v>15</v>
      </c>
      <c r="F47" s="2">
        <v>0</v>
      </c>
      <c r="G47" s="2">
        <v>66.83</v>
      </c>
      <c r="H47" s="2">
        <v>15.66</v>
      </c>
      <c r="J47" s="4">
        <f t="shared" si="12"/>
        <v>0.4952126815823682</v>
      </c>
      <c r="K47" s="5">
        <f t="shared" si="13"/>
        <v>9.5317978925995028</v>
      </c>
      <c r="L47" s="5">
        <f t="shared" si="14"/>
        <v>9.4691760524968576</v>
      </c>
      <c r="M47" s="5">
        <f t="shared" si="15"/>
        <v>9.5953359170239043</v>
      </c>
      <c r="N47" s="5">
        <f t="shared" si="16"/>
        <v>6.2621840102645265E-2</v>
      </c>
      <c r="O47" s="5">
        <f t="shared" si="17"/>
        <v>6.3538024424401485E-2</v>
      </c>
    </row>
    <row r="48" spans="1:15" ht="15.6" customHeight="1" x14ac:dyDescent="0.3">
      <c r="A48" s="1">
        <v>3</v>
      </c>
      <c r="B48" s="1">
        <v>200</v>
      </c>
      <c r="C48" s="1">
        <v>1000</v>
      </c>
      <c r="D48" s="2">
        <v>0.1</v>
      </c>
      <c r="E48" s="1">
        <v>16</v>
      </c>
      <c r="F48" s="2">
        <v>0</v>
      </c>
      <c r="G48" s="2">
        <v>64.569999999999993</v>
      </c>
      <c r="H48" s="2">
        <v>15.72</v>
      </c>
      <c r="J48" s="4">
        <f t="shared" si="12"/>
        <v>0.49711004817846927</v>
      </c>
      <c r="K48" s="5">
        <f t="shared" si="13"/>
        <v>9.6812046397780414</v>
      </c>
      <c r="L48" s="5">
        <f t="shared" si="14"/>
        <v>9.6161608422702667</v>
      </c>
      <c r="M48" s="5">
        <f t="shared" si="15"/>
        <v>9.7472374216213531</v>
      </c>
      <c r="N48" s="5">
        <f t="shared" si="16"/>
        <v>6.504379750777467E-2</v>
      </c>
      <c r="O48" s="5">
        <f t="shared" si="17"/>
        <v>6.6032781843311739E-2</v>
      </c>
    </row>
    <row r="49" spans="1:15" ht="15.6" customHeight="1" x14ac:dyDescent="0.3">
      <c r="A49" s="1">
        <v>3</v>
      </c>
      <c r="B49" s="1">
        <v>200</v>
      </c>
      <c r="C49" s="1">
        <v>1000</v>
      </c>
      <c r="D49" s="2">
        <v>0.1</v>
      </c>
      <c r="E49" s="1">
        <v>17</v>
      </c>
      <c r="F49" s="2">
        <v>0</v>
      </c>
      <c r="G49" s="2">
        <v>60.16</v>
      </c>
      <c r="H49" s="2">
        <v>15.72</v>
      </c>
      <c r="J49" s="4">
        <f t="shared" si="12"/>
        <v>0.49711004817846927</v>
      </c>
      <c r="K49" s="5">
        <f t="shared" si="13"/>
        <v>9.9884342280005782</v>
      </c>
      <c r="L49" s="5">
        <f t="shared" si="14"/>
        <v>9.9186605300064041</v>
      </c>
      <c r="M49" s="5">
        <f t="shared" si="15"/>
        <v>10.059347238453697</v>
      </c>
      <c r="N49" s="5">
        <f t="shared" si="16"/>
        <v>6.97736979941741E-2</v>
      </c>
      <c r="O49" s="5">
        <f t="shared" si="17"/>
        <v>7.0913010453118375E-2</v>
      </c>
    </row>
    <row r="50" spans="1:15" ht="15.6" customHeight="1" x14ac:dyDescent="0.3">
      <c r="A50" s="1">
        <v>3</v>
      </c>
      <c r="B50" s="1">
        <v>200</v>
      </c>
      <c r="C50" s="1">
        <v>1000</v>
      </c>
      <c r="D50" s="2">
        <v>0.1</v>
      </c>
      <c r="E50" s="1">
        <v>18</v>
      </c>
      <c r="F50" s="2">
        <v>0</v>
      </c>
      <c r="G50" s="2">
        <v>57.29</v>
      </c>
      <c r="H50" s="2">
        <v>14.4</v>
      </c>
      <c r="J50" s="4">
        <f t="shared" si="12"/>
        <v>0.45536798306424664</v>
      </c>
      <c r="K50" s="5">
        <f t="shared" si="13"/>
        <v>10.20072428134031</v>
      </c>
      <c r="L50" s="5">
        <f t="shared" si="14"/>
        <v>10.133587136057979</v>
      </c>
      <c r="M50" s="5">
        <f t="shared" si="15"/>
        <v>10.268915610820407</v>
      </c>
      <c r="N50" s="5">
        <f t="shared" si="16"/>
        <v>6.7137145282330835E-2</v>
      </c>
      <c r="O50" s="5">
        <f t="shared" si="17"/>
        <v>6.8191329480097096E-2</v>
      </c>
    </row>
    <row r="51" spans="1:15" ht="15.6" customHeight="1" x14ac:dyDescent="0.3">
      <c r="A51" s="1">
        <v>3</v>
      </c>
      <c r="B51" s="1">
        <v>200</v>
      </c>
      <c r="C51" s="1">
        <v>1000</v>
      </c>
      <c r="D51" s="2">
        <v>0.1</v>
      </c>
      <c r="E51" s="1">
        <v>19</v>
      </c>
      <c r="F51" s="2">
        <v>0</v>
      </c>
      <c r="G51" s="2">
        <v>54.45</v>
      </c>
      <c r="H51" s="2">
        <v>14.43</v>
      </c>
      <c r="J51" s="4">
        <f t="shared" si="12"/>
        <v>0.45631666636229712</v>
      </c>
      <c r="K51" s="5">
        <f t="shared" si="13"/>
        <v>10.421533662918499</v>
      </c>
      <c r="L51" s="5">
        <f t="shared" si="14"/>
        <v>10.350777185674131</v>
      </c>
      <c r="M51" s="5">
        <f t="shared" si="15"/>
        <v>10.493462043907249</v>
      </c>
      <c r="N51" s="5">
        <f t="shared" si="16"/>
        <v>7.0756477244367844E-2</v>
      </c>
      <c r="O51" s="5">
        <f t="shared" si="17"/>
        <v>7.1928380988749652E-2</v>
      </c>
    </row>
    <row r="52" spans="1:15" ht="15.6" customHeight="1" x14ac:dyDescent="0.3">
      <c r="A52" s="1">
        <v>3</v>
      </c>
      <c r="B52" s="1">
        <v>200</v>
      </c>
      <c r="C52" s="1">
        <v>1000</v>
      </c>
      <c r="D52" s="2">
        <v>0.1</v>
      </c>
      <c r="E52" s="1">
        <v>20</v>
      </c>
      <c r="F52" s="2">
        <v>0</v>
      </c>
      <c r="G52" s="2">
        <v>52.86</v>
      </c>
      <c r="H52" s="2">
        <v>14.23</v>
      </c>
      <c r="J52" s="4">
        <f t="shared" si="12"/>
        <v>0.44999211104196041</v>
      </c>
      <c r="K52" s="5">
        <f t="shared" si="13"/>
        <v>10.55024091587952</v>
      </c>
      <c r="L52" s="5">
        <f t="shared" si="14"/>
        <v>10.478375507384163</v>
      </c>
      <c r="M52" s="5">
        <f t="shared" si="15"/>
        <v>10.623315564075735</v>
      </c>
      <c r="N52" s="5">
        <f t="shared" si="16"/>
        <v>7.1865408495357386E-2</v>
      </c>
      <c r="O52" s="5">
        <f t="shared" si="17"/>
        <v>7.3074648196215009E-2</v>
      </c>
    </row>
    <row r="53" spans="1:15" ht="15.6" customHeight="1" x14ac:dyDescent="0.3">
      <c r="A53" s="13" t="s">
        <v>17</v>
      </c>
      <c r="B53" s="7"/>
      <c r="C53" s="7"/>
      <c r="D53" s="8"/>
      <c r="E53" s="7"/>
      <c r="F53" s="8"/>
      <c r="G53" s="8"/>
      <c r="H53" s="8"/>
      <c r="I53" s="8"/>
      <c r="J53" s="9"/>
      <c r="K53" s="10"/>
      <c r="L53" s="10"/>
      <c r="M53" s="10"/>
      <c r="N53" s="10"/>
      <c r="O53" s="10"/>
    </row>
    <row r="54" spans="1:15" ht="15.6" customHeight="1" x14ac:dyDescent="0.3">
      <c r="A54" s="1">
        <v>4</v>
      </c>
      <c r="B54" s="1">
        <v>200</v>
      </c>
      <c r="C54" s="1">
        <v>1000</v>
      </c>
      <c r="D54" s="2">
        <v>0.1</v>
      </c>
      <c r="E54" s="1">
        <v>5</v>
      </c>
      <c r="F54" s="2">
        <v>0</v>
      </c>
      <c r="G54" s="2">
        <v>159.72</v>
      </c>
      <c r="H54" s="2">
        <v>25.71</v>
      </c>
      <c r="J54" s="4">
        <f t="shared" ref="J54:J69" si="18">H54/SQRT(C54)</f>
        <v>0.81302158642929034</v>
      </c>
      <c r="K54" s="5">
        <f t="shared" ref="K54:K69" si="19">-10*LOG10(G54/(B54*3))</f>
        <v>5.7479194886134364</v>
      </c>
      <c r="L54" s="5">
        <f t="shared" ref="L54:L69" si="20">-10*LOG10((G54+1.96*J54)/(B54*3))</f>
        <v>5.7048047618620723</v>
      </c>
      <c r="M54" s="5">
        <f t="shared" ref="M54:M69" si="21">-10*LOG10((G54-1.96*J54)/(B54*3))</f>
        <v>5.7914665336652149</v>
      </c>
      <c r="N54" s="5">
        <f t="shared" ref="N54:N69" si="22">K54-L54</f>
        <v>4.3114726751364074E-2</v>
      </c>
      <c r="O54" s="5">
        <f t="shared" ref="O54:O69" si="23">M54-K54</f>
        <v>4.3547045051778532E-2</v>
      </c>
    </row>
    <row r="55" spans="1:15" ht="15.6" customHeight="1" x14ac:dyDescent="0.3">
      <c r="A55" s="3">
        <v>4</v>
      </c>
      <c r="B55" s="3">
        <v>200</v>
      </c>
      <c r="C55" s="3">
        <v>1000</v>
      </c>
      <c r="D55" s="4">
        <v>0.1</v>
      </c>
      <c r="E55" s="3">
        <v>6</v>
      </c>
      <c r="F55" s="4">
        <v>0</v>
      </c>
      <c r="G55" s="4">
        <v>115.11</v>
      </c>
      <c r="H55" s="4">
        <v>29.35</v>
      </c>
      <c r="I55" s="4"/>
      <c r="J55" s="4">
        <f t="shared" si="18"/>
        <v>0.92812849325941937</v>
      </c>
      <c r="K55" s="5">
        <f t="shared" si="19"/>
        <v>7.1703819646566478</v>
      </c>
      <c r="L55" s="5">
        <f t="shared" si="20"/>
        <v>7.1022852515734192</v>
      </c>
      <c r="M55" s="5">
        <f t="shared" si="21"/>
        <v>7.23956345555571</v>
      </c>
      <c r="N55" s="5">
        <f t="shared" si="22"/>
        <v>6.8096713083228622E-2</v>
      </c>
      <c r="O55" s="5">
        <f t="shared" si="23"/>
        <v>6.9181490899062226E-2</v>
      </c>
    </row>
    <row r="56" spans="1:15" ht="15.6" customHeight="1" x14ac:dyDescent="0.3">
      <c r="A56" s="3">
        <v>4</v>
      </c>
      <c r="B56" s="3">
        <v>200</v>
      </c>
      <c r="C56" s="3">
        <v>1000</v>
      </c>
      <c r="D56" s="4">
        <v>0.1</v>
      </c>
      <c r="E56" s="3">
        <v>7</v>
      </c>
      <c r="F56" s="4">
        <v>0</v>
      </c>
      <c r="G56" s="4">
        <v>90.33</v>
      </c>
      <c r="H56" s="4">
        <v>32.75</v>
      </c>
      <c r="I56" s="4"/>
      <c r="J56" s="4">
        <f t="shared" si="18"/>
        <v>1.0356459337051442</v>
      </c>
      <c r="K56" s="5">
        <f t="shared" si="19"/>
        <v>8.22319240151222</v>
      </c>
      <c r="L56" s="5">
        <f t="shared" si="20"/>
        <v>8.1266795609137397</v>
      </c>
      <c r="M56" s="5">
        <f t="shared" si="21"/>
        <v>8.3218988788919361</v>
      </c>
      <c r="N56" s="5">
        <f t="shared" si="22"/>
        <v>9.6512840598480309E-2</v>
      </c>
      <c r="O56" s="5">
        <f t="shared" si="23"/>
        <v>9.8706477379716162E-2</v>
      </c>
    </row>
    <row r="57" spans="1:15" ht="15.6" customHeight="1" x14ac:dyDescent="0.3">
      <c r="A57" s="3">
        <v>4</v>
      </c>
      <c r="B57" s="3">
        <v>200</v>
      </c>
      <c r="C57" s="3">
        <v>1000</v>
      </c>
      <c r="D57" s="4">
        <v>0.1</v>
      </c>
      <c r="E57" s="3">
        <v>8</v>
      </c>
      <c r="F57" s="4">
        <v>0</v>
      </c>
      <c r="G57" s="4">
        <v>75.709999999999994</v>
      </c>
      <c r="H57" s="4">
        <v>34.26</v>
      </c>
      <c r="I57" s="4"/>
      <c r="J57" s="4">
        <f t="shared" si="18"/>
        <v>1.0833963263736868</v>
      </c>
      <c r="K57" s="5">
        <f t="shared" si="19"/>
        <v>8.9899800419939755</v>
      </c>
      <c r="L57" s="5">
        <f t="shared" si="20"/>
        <v>8.8698493128405413</v>
      </c>
      <c r="M57" s="5">
        <f t="shared" si="21"/>
        <v>9.1135284838561166</v>
      </c>
      <c r="N57" s="5">
        <f t="shared" si="22"/>
        <v>0.12013072915343415</v>
      </c>
      <c r="O57" s="5">
        <f t="shared" si="23"/>
        <v>0.12354844186214109</v>
      </c>
    </row>
    <row r="58" spans="1:15" ht="15.6" customHeight="1" x14ac:dyDescent="0.3">
      <c r="A58" s="3">
        <v>4</v>
      </c>
      <c r="B58" s="3">
        <v>200</v>
      </c>
      <c r="C58" s="3">
        <v>1000</v>
      </c>
      <c r="D58" s="4">
        <v>0.1</v>
      </c>
      <c r="E58" s="3">
        <v>9</v>
      </c>
      <c r="F58" s="4">
        <v>0</v>
      </c>
      <c r="G58" s="4">
        <v>65.290000000000006</v>
      </c>
      <c r="H58" s="4">
        <v>34.119999999999997</v>
      </c>
      <c r="I58" s="4"/>
      <c r="J58" s="4">
        <f t="shared" si="18"/>
        <v>1.078969137649451</v>
      </c>
      <c r="K58" s="5">
        <f t="shared" si="19"/>
        <v>9.6330458177918032</v>
      </c>
      <c r="L58" s="5">
        <f t="shared" si="20"/>
        <v>9.4946055798577813</v>
      </c>
      <c r="M58" s="5">
        <f t="shared" si="21"/>
        <v>9.7760448404158211</v>
      </c>
      <c r="N58" s="5">
        <f t="shared" si="22"/>
        <v>0.13844023793402194</v>
      </c>
      <c r="O58" s="5">
        <f t="shared" si="23"/>
        <v>0.14299902262401787</v>
      </c>
    </row>
    <row r="59" spans="1:15" ht="15.6" customHeight="1" x14ac:dyDescent="0.3">
      <c r="A59" s="3">
        <v>4</v>
      </c>
      <c r="B59" s="3">
        <v>200</v>
      </c>
      <c r="C59" s="3">
        <v>1000</v>
      </c>
      <c r="D59" s="4">
        <v>0.1</v>
      </c>
      <c r="E59" s="3">
        <v>10</v>
      </c>
      <c r="F59" s="4">
        <v>0</v>
      </c>
      <c r="G59" s="4">
        <v>60.29</v>
      </c>
      <c r="H59" s="4">
        <v>38.979999999999997</v>
      </c>
      <c r="I59" s="4"/>
      <c r="J59" s="4">
        <f t="shared" si="18"/>
        <v>1.2326558319336343</v>
      </c>
      <c r="K59" s="5">
        <f t="shared" si="19"/>
        <v>9.9790596651829091</v>
      </c>
      <c r="L59" s="5">
        <f t="shared" si="20"/>
        <v>9.8084211464908364</v>
      </c>
      <c r="M59" s="5">
        <f t="shared" si="21"/>
        <v>10.15667791182689</v>
      </c>
      <c r="N59" s="5">
        <f t="shared" si="22"/>
        <v>0.17063851869207269</v>
      </c>
      <c r="O59" s="5">
        <f t="shared" si="23"/>
        <v>0.17761824664398063</v>
      </c>
    </row>
    <row r="60" spans="1:15" ht="15.6" customHeight="1" x14ac:dyDescent="0.3">
      <c r="A60" s="3">
        <v>4</v>
      </c>
      <c r="B60" s="3">
        <v>200</v>
      </c>
      <c r="C60" s="3">
        <v>1000</v>
      </c>
      <c r="D60" s="4">
        <v>0.1</v>
      </c>
      <c r="E60" s="3">
        <v>11</v>
      </c>
      <c r="F60" s="4">
        <v>0</v>
      </c>
      <c r="G60" s="4">
        <v>57.22</v>
      </c>
      <c r="H60" s="4">
        <v>40.61</v>
      </c>
      <c r="I60" s="4"/>
      <c r="J60" s="4">
        <f t="shared" si="18"/>
        <v>1.2842009577943789</v>
      </c>
      <c r="K60" s="5">
        <f t="shared" si="19"/>
        <v>10.206033969143997</v>
      </c>
      <c r="L60" s="5">
        <f t="shared" si="20"/>
        <v>10.019075956025025</v>
      </c>
      <c r="M60" s="5">
        <f t="shared" si="21"/>
        <v>10.401403749495399</v>
      </c>
      <c r="N60" s="5">
        <f t="shared" si="22"/>
        <v>0.18695801311897142</v>
      </c>
      <c r="O60" s="5">
        <f t="shared" si="23"/>
        <v>0.19536978035140251</v>
      </c>
    </row>
    <row r="61" spans="1:15" ht="15.6" customHeight="1" x14ac:dyDescent="0.3">
      <c r="A61" s="3">
        <v>4</v>
      </c>
      <c r="B61" s="3">
        <v>200</v>
      </c>
      <c r="C61" s="3">
        <v>1000</v>
      </c>
      <c r="D61" s="4">
        <v>0.1</v>
      </c>
      <c r="E61" s="3">
        <v>12</v>
      </c>
      <c r="F61" s="4">
        <v>0</v>
      </c>
      <c r="G61" s="4">
        <v>54.24</v>
      </c>
      <c r="H61" s="4">
        <v>40.58</v>
      </c>
      <c r="I61" s="4"/>
      <c r="J61" s="4">
        <f t="shared" si="18"/>
        <v>1.2832522744963284</v>
      </c>
      <c r="K61" s="5">
        <f t="shared" si="19"/>
        <v>10.438315695246366</v>
      </c>
      <c r="L61" s="5">
        <f t="shared" si="20"/>
        <v>10.241457874062972</v>
      </c>
      <c r="M61" s="5">
        <f t="shared" si="21"/>
        <v>10.64452215836206</v>
      </c>
      <c r="N61" s="5">
        <f t="shared" si="22"/>
        <v>0.19685782118339468</v>
      </c>
      <c r="O61" s="5">
        <f t="shared" si="23"/>
        <v>0.20620646311569324</v>
      </c>
    </row>
    <row r="62" spans="1:15" ht="15.6" customHeight="1" x14ac:dyDescent="0.3">
      <c r="A62" s="3">
        <v>4</v>
      </c>
      <c r="B62" s="3">
        <v>200</v>
      </c>
      <c r="C62" s="3">
        <v>1000</v>
      </c>
      <c r="D62" s="4">
        <v>0.1</v>
      </c>
      <c r="E62" s="3">
        <v>13</v>
      </c>
      <c r="F62" s="4">
        <v>0</v>
      </c>
      <c r="G62" s="4">
        <v>50.93</v>
      </c>
      <c r="H62" s="4">
        <v>39.200000000000003</v>
      </c>
      <c r="I62" s="4"/>
      <c r="J62" s="4">
        <f t="shared" si="18"/>
        <v>1.2396128427860049</v>
      </c>
      <c r="K62" s="5">
        <f t="shared" si="19"/>
        <v>10.711775742074654</v>
      </c>
      <c r="L62" s="5">
        <f t="shared" si="20"/>
        <v>10.509383499699954</v>
      </c>
      <c r="M62" s="5">
        <f t="shared" si="21"/>
        <v>10.924062986575773</v>
      </c>
      <c r="N62" s="5">
        <f t="shared" si="22"/>
        <v>0.20239224237469955</v>
      </c>
      <c r="O62" s="5">
        <f t="shared" si="23"/>
        <v>0.21228724450111969</v>
      </c>
    </row>
    <row r="63" spans="1:15" ht="15.6" customHeight="1" x14ac:dyDescent="0.3">
      <c r="A63" s="3">
        <v>4</v>
      </c>
      <c r="B63" s="3">
        <v>200</v>
      </c>
      <c r="C63" s="3">
        <v>1000</v>
      </c>
      <c r="D63" s="4">
        <v>0.1</v>
      </c>
      <c r="E63" s="3">
        <v>14</v>
      </c>
      <c r="F63" s="4">
        <v>0</v>
      </c>
      <c r="G63" s="4">
        <v>51.18</v>
      </c>
      <c r="H63" s="4">
        <v>41.72</v>
      </c>
      <c r="I63" s="4"/>
      <c r="J63" s="4">
        <f t="shared" si="18"/>
        <v>1.3193022398222478</v>
      </c>
      <c r="K63" s="5">
        <f t="shared" si="19"/>
        <v>10.69050968832477</v>
      </c>
      <c r="L63" s="5">
        <f t="shared" si="20"/>
        <v>10.476448765464834</v>
      </c>
      <c r="M63" s="5">
        <f t="shared" si="21"/>
        <v>10.915671030723077</v>
      </c>
      <c r="N63" s="5">
        <f t="shared" si="22"/>
        <v>0.21406092285993594</v>
      </c>
      <c r="O63" s="5">
        <f t="shared" si="23"/>
        <v>0.22516134239830699</v>
      </c>
    </row>
    <row r="64" spans="1:15" ht="15.6" customHeight="1" x14ac:dyDescent="0.3">
      <c r="A64" s="3">
        <v>4</v>
      </c>
      <c r="B64" s="3">
        <v>200</v>
      </c>
      <c r="C64" s="3">
        <v>1000</v>
      </c>
      <c r="D64" s="4">
        <v>0.1</v>
      </c>
      <c r="E64" s="3">
        <v>15</v>
      </c>
      <c r="F64" s="4">
        <v>0</v>
      </c>
      <c r="G64" s="4">
        <v>49.7</v>
      </c>
      <c r="H64" s="4">
        <v>42.24</v>
      </c>
      <c r="I64" s="4"/>
      <c r="J64" s="4">
        <f t="shared" si="18"/>
        <v>1.3357460836551236</v>
      </c>
      <c r="K64" s="5">
        <f t="shared" si="19"/>
        <v>10.817948616503115</v>
      </c>
      <c r="L64" s="5">
        <f t="shared" si="20"/>
        <v>10.594995995015582</v>
      </c>
      <c r="M64" s="5">
        <f t="shared" si="21"/>
        <v>11.052969222807828</v>
      </c>
      <c r="N64" s="5">
        <f t="shared" si="22"/>
        <v>0.22295262148753281</v>
      </c>
      <c r="O64" s="5">
        <f t="shared" si="23"/>
        <v>0.23502060630471355</v>
      </c>
    </row>
    <row r="65" spans="1:15" ht="15.6" customHeight="1" x14ac:dyDescent="0.3">
      <c r="A65" s="3">
        <v>4</v>
      </c>
      <c r="B65" s="3">
        <v>200</v>
      </c>
      <c r="C65" s="3">
        <v>1000</v>
      </c>
      <c r="D65" s="4">
        <v>0.1</v>
      </c>
      <c r="E65" s="3">
        <v>16</v>
      </c>
      <c r="F65" s="3">
        <v>0</v>
      </c>
      <c r="G65" s="4">
        <v>47.48</v>
      </c>
      <c r="H65" s="4">
        <v>43.37</v>
      </c>
      <c r="I65" s="4"/>
      <c r="J65" s="4">
        <f t="shared" si="18"/>
        <v>1.3714798212150261</v>
      </c>
      <c r="K65" s="5">
        <f t="shared" si="19"/>
        <v>11.0164054010109</v>
      </c>
      <c r="L65" s="5">
        <f t="shared" si="20"/>
        <v>10.777235930450049</v>
      </c>
      <c r="M65" s="5">
        <f t="shared" si="21"/>
        <v>11.269517698373273</v>
      </c>
      <c r="N65" s="5">
        <f t="shared" si="22"/>
        <v>0.23916947056085114</v>
      </c>
      <c r="O65" s="5">
        <f t="shared" si="23"/>
        <v>0.25311229736237273</v>
      </c>
    </row>
    <row r="66" spans="1:15" ht="15.6" customHeight="1" x14ac:dyDescent="0.3">
      <c r="A66" s="3">
        <v>4</v>
      </c>
      <c r="B66" s="3">
        <v>200</v>
      </c>
      <c r="C66" s="3">
        <v>1000</v>
      </c>
      <c r="D66" s="4">
        <v>0.1</v>
      </c>
      <c r="E66" s="3">
        <v>17</v>
      </c>
      <c r="F66" s="4">
        <v>0</v>
      </c>
      <c r="G66" s="4">
        <v>45.27</v>
      </c>
      <c r="H66" s="4">
        <v>43</v>
      </c>
      <c r="I66" s="4"/>
      <c r="J66" s="4">
        <f t="shared" si="18"/>
        <v>1.3597793938724032</v>
      </c>
      <c r="K66" s="5">
        <f t="shared" si="19"/>
        <v>11.223407558883913</v>
      </c>
      <c r="L66" s="5">
        <f t="shared" si="20"/>
        <v>10.974970001025405</v>
      </c>
      <c r="M66" s="5">
        <f t="shared" si="21"/>
        <v>11.486923892991655</v>
      </c>
      <c r="N66" s="5">
        <f t="shared" si="22"/>
        <v>0.24843755785850874</v>
      </c>
      <c r="O66" s="5">
        <f t="shared" si="23"/>
        <v>0.26351633410774156</v>
      </c>
    </row>
    <row r="67" spans="1:15" ht="15.6" customHeight="1" x14ac:dyDescent="0.3">
      <c r="A67" s="3">
        <v>4</v>
      </c>
      <c r="B67" s="3">
        <v>200</v>
      </c>
      <c r="C67" s="3">
        <v>1000</v>
      </c>
      <c r="D67" s="4">
        <v>0.1</v>
      </c>
      <c r="E67" s="3">
        <v>18</v>
      </c>
      <c r="F67" s="4">
        <v>0</v>
      </c>
      <c r="G67" s="4">
        <v>42.54</v>
      </c>
      <c r="H67" s="4">
        <v>42.07</v>
      </c>
      <c r="I67" s="4"/>
      <c r="J67" s="4">
        <f t="shared" si="18"/>
        <v>1.3303702116328373</v>
      </c>
      <c r="K67" s="5">
        <f t="shared" si="19"/>
        <v>11.493537648169333</v>
      </c>
      <c r="L67" s="5">
        <f t="shared" si="20"/>
        <v>11.235172973129831</v>
      </c>
      <c r="M67" s="5">
        <f t="shared" si="21"/>
        <v>11.768250286304813</v>
      </c>
      <c r="N67" s="5">
        <f t="shared" si="22"/>
        <v>0.25836467503950189</v>
      </c>
      <c r="O67" s="5">
        <f t="shared" si="23"/>
        <v>0.27471263813547964</v>
      </c>
    </row>
    <row r="68" spans="1:15" ht="15.6" customHeight="1" x14ac:dyDescent="0.3">
      <c r="A68" s="3">
        <v>4</v>
      </c>
      <c r="B68" s="3">
        <v>200</v>
      </c>
      <c r="C68" s="3">
        <v>1000</v>
      </c>
      <c r="D68" s="4">
        <v>0.1</v>
      </c>
      <c r="E68" s="3">
        <v>19</v>
      </c>
      <c r="F68" s="4">
        <v>0</v>
      </c>
      <c r="G68" s="4">
        <v>44.39</v>
      </c>
      <c r="H68" s="4">
        <v>48.85</v>
      </c>
      <c r="I68" s="4"/>
      <c r="J68" s="4">
        <f t="shared" si="18"/>
        <v>1.5447726369922534</v>
      </c>
      <c r="K68" s="5">
        <f t="shared" si="19"/>
        <v>11.308661053582769</v>
      </c>
      <c r="L68" s="5">
        <f t="shared" si="20"/>
        <v>11.022102677693088</v>
      </c>
      <c r="M68" s="5">
        <f t="shared" si="21"/>
        <v>11.615471410208764</v>
      </c>
      <c r="N68" s="5">
        <f t="shared" si="22"/>
        <v>0.28655837588968147</v>
      </c>
      <c r="O68" s="5">
        <f t="shared" si="23"/>
        <v>0.30681035662599498</v>
      </c>
    </row>
    <row r="69" spans="1:15" ht="15.6" customHeight="1" x14ac:dyDescent="0.3">
      <c r="A69" s="3">
        <v>4</v>
      </c>
      <c r="B69" s="3">
        <v>200</v>
      </c>
      <c r="C69" s="3">
        <v>1000</v>
      </c>
      <c r="D69" s="4">
        <v>0.1</v>
      </c>
      <c r="E69" s="3">
        <v>20</v>
      </c>
      <c r="F69" s="4">
        <v>0</v>
      </c>
      <c r="G69" s="4">
        <v>42.9</v>
      </c>
      <c r="H69" s="4">
        <v>47.06</v>
      </c>
      <c r="I69" s="4"/>
      <c r="J69" s="4">
        <f t="shared" si="18"/>
        <v>1.4881678668752394</v>
      </c>
      <c r="K69" s="5">
        <f t="shared" si="19"/>
        <v>11.456939581989193</v>
      </c>
      <c r="L69" s="5">
        <f t="shared" si="20"/>
        <v>11.171264115727183</v>
      </c>
      <c r="M69" s="5">
        <f t="shared" si="21"/>
        <v>11.762737990181066</v>
      </c>
      <c r="N69" s="5">
        <f t="shared" si="22"/>
        <v>0.28567546626200979</v>
      </c>
      <c r="O69" s="5">
        <f t="shared" si="23"/>
        <v>0.30579840819187254</v>
      </c>
    </row>
    <row r="87" spans="10:15" ht="18.75" customHeight="1" x14ac:dyDescent="0.3">
      <c r="J87" s="4"/>
      <c r="K87" s="5"/>
      <c r="L87" s="5"/>
      <c r="M87" s="5"/>
      <c r="N87" s="5"/>
      <c r="O87" s="5"/>
    </row>
  </sheetData>
  <pageMargins left="0.7" right="0.7" top="0.75" bottom="0.75" header="0.3" footer="0.3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DFBA9A-03F5-4991-8744-153854FBC9DE}">
  <sheetPr codeName="Sheet7">
    <outlinePr summaryBelow="0"/>
  </sheetPr>
  <dimension ref="A1:O107"/>
  <sheetViews>
    <sheetView zoomScale="115" zoomScaleNormal="115" workbookViewId="0">
      <pane ySplit="1" topLeftCell="A2" activePane="bottomLeft" state="frozen"/>
      <selection activeCell="D20" sqref="D20"/>
      <selection pane="bottomLeft" activeCell="A47" sqref="A47:H67"/>
    </sheetView>
  </sheetViews>
  <sheetFormatPr defaultRowHeight="14.4" x14ac:dyDescent="0.3"/>
  <cols>
    <col min="1" max="1" width="13.33203125" style="1" bestFit="1" customWidth="1"/>
    <col min="2" max="2" width="10.33203125" style="1" customWidth="1"/>
    <col min="3" max="3" width="10.77734375" style="1" customWidth="1"/>
    <col min="4" max="4" width="10.21875" style="2" customWidth="1"/>
    <col min="5" max="5" width="11.77734375" style="1" customWidth="1"/>
    <col min="6" max="6" width="9.44140625" style="2" customWidth="1"/>
    <col min="7" max="9" width="10" style="2" customWidth="1"/>
    <col min="10" max="10" width="9" style="2" customWidth="1"/>
    <col min="11" max="15" width="12.44140625" style="2" customWidth="1"/>
    <col min="16" max="16" width="12.44140625" customWidth="1"/>
  </cols>
  <sheetData>
    <row r="1" spans="1:15" s="6" customFormat="1" ht="15.6" customHeight="1" x14ac:dyDescent="0.3">
      <c r="A1" s="11" t="s">
        <v>14</v>
      </c>
      <c r="B1" s="11" t="s">
        <v>0</v>
      </c>
      <c r="C1" s="11" t="s">
        <v>1</v>
      </c>
      <c r="D1" s="12" t="s">
        <v>2</v>
      </c>
      <c r="E1" s="11" t="s">
        <v>3</v>
      </c>
      <c r="F1" s="12" t="s">
        <v>4</v>
      </c>
      <c r="G1" s="12" t="s">
        <v>5</v>
      </c>
      <c r="H1" s="12" t="s">
        <v>6</v>
      </c>
      <c r="I1" s="12"/>
      <c r="J1" s="12" t="s">
        <v>7</v>
      </c>
      <c r="K1" s="12" t="s">
        <v>8</v>
      </c>
      <c r="L1" s="12" t="s">
        <v>9</v>
      </c>
      <c r="M1" s="12" t="s">
        <v>10</v>
      </c>
      <c r="N1" s="12" t="s">
        <v>11</v>
      </c>
      <c r="O1" s="12" t="s">
        <v>12</v>
      </c>
    </row>
    <row r="2" spans="1:15" ht="15.6" customHeight="1" x14ac:dyDescent="0.3">
      <c r="A2" s="13" t="s">
        <v>13</v>
      </c>
      <c r="B2" s="7"/>
      <c r="C2" s="7"/>
      <c r="D2" s="8"/>
      <c r="E2" s="7"/>
      <c r="F2" s="8"/>
      <c r="G2" s="8"/>
      <c r="H2" s="8"/>
      <c r="I2" s="8"/>
      <c r="J2" s="9"/>
      <c r="K2" s="10"/>
      <c r="L2" s="10"/>
      <c r="M2" s="10"/>
      <c r="N2" s="10"/>
      <c r="O2" s="10"/>
    </row>
    <row r="3" spans="1:15" ht="15.6" customHeight="1" x14ac:dyDescent="0.3">
      <c r="A3" s="1">
        <v>1</v>
      </c>
      <c r="B3" s="1">
        <v>200</v>
      </c>
      <c r="C3" s="1">
        <v>1000</v>
      </c>
      <c r="D3" s="2">
        <v>0</v>
      </c>
      <c r="E3" s="1">
        <v>10</v>
      </c>
      <c r="F3" s="2">
        <v>0</v>
      </c>
      <c r="G3" s="2">
        <v>100.17</v>
      </c>
      <c r="H3" s="2">
        <v>64.44</v>
      </c>
      <c r="J3" s="4">
        <f t="shared" ref="J3:J23" si="0">H3/SQRT(C3)</f>
        <v>2.0377717242125035</v>
      </c>
      <c r="K3" s="5">
        <f t="shared" ref="K3:K23" si="1">-10*LOG10(G3/(B3*3))</f>
        <v>7.7741357660961041</v>
      </c>
      <c r="L3" s="5">
        <f t="shared" ref="L3:L23" si="2">-10*LOG10((G3+1.96*J3)/(B3*3))</f>
        <v>7.6043346566965422</v>
      </c>
      <c r="M3" s="5">
        <f t="shared" ref="M3:M23" si="3">-10*LOG10((G3-1.96*J3)/(B3*3))</f>
        <v>7.9508468687564449</v>
      </c>
      <c r="N3" s="5">
        <f t="shared" ref="N3:N23" si="4">K3-L3</f>
        <v>0.16980110939956194</v>
      </c>
      <c r="O3" s="5">
        <f t="shared" ref="O3:O23" si="5">M3-K3</f>
        <v>0.17671110266034074</v>
      </c>
    </row>
    <row r="4" spans="1:15" ht="15.6" customHeight="1" x14ac:dyDescent="0.3">
      <c r="A4" s="3">
        <v>1</v>
      </c>
      <c r="B4" s="3">
        <v>200</v>
      </c>
      <c r="C4" s="3">
        <v>1000</v>
      </c>
      <c r="D4" s="4">
        <v>0.01</v>
      </c>
      <c r="E4" s="3">
        <v>10</v>
      </c>
      <c r="F4" s="4">
        <v>0</v>
      </c>
      <c r="G4" s="4">
        <v>90.97</v>
      </c>
      <c r="H4" s="4">
        <v>56.85</v>
      </c>
      <c r="I4" s="4"/>
      <c r="J4" s="4">
        <f t="shared" si="0"/>
        <v>1.7977548498057236</v>
      </c>
      <c r="K4" s="5">
        <f t="shared" si="1"/>
        <v>8.1925305567287197</v>
      </c>
      <c r="L4" s="5">
        <f t="shared" si="2"/>
        <v>8.0274885767893025</v>
      </c>
      <c r="M4" s="5">
        <f t="shared" si="3"/>
        <v>8.3640931281367159</v>
      </c>
      <c r="N4" s="5">
        <f t="shared" si="4"/>
        <v>0.16504197993941716</v>
      </c>
      <c r="O4" s="5">
        <f t="shared" si="5"/>
        <v>0.17156257140799624</v>
      </c>
    </row>
    <row r="5" spans="1:15" ht="15.6" customHeight="1" x14ac:dyDescent="0.3">
      <c r="A5" s="3">
        <v>1</v>
      </c>
      <c r="B5" s="3">
        <v>200</v>
      </c>
      <c r="C5" s="3">
        <v>1000</v>
      </c>
      <c r="D5" s="4">
        <v>0.02</v>
      </c>
      <c r="E5" s="3">
        <v>10</v>
      </c>
      <c r="F5" s="4">
        <v>0</v>
      </c>
      <c r="G5" s="4">
        <v>90.24</v>
      </c>
      <c r="H5" s="4">
        <v>58.23</v>
      </c>
      <c r="I5" s="4"/>
      <c r="J5" s="4">
        <f t="shared" si="0"/>
        <v>1.8413942815160473</v>
      </c>
      <c r="K5" s="5">
        <f t="shared" si="1"/>
        <v>8.2275216374437665</v>
      </c>
      <c r="L5" s="5">
        <f t="shared" si="2"/>
        <v>8.0572098648422639</v>
      </c>
      <c r="M5" s="5">
        <f t="shared" si="3"/>
        <v>8.4047858850843831</v>
      </c>
      <c r="N5" s="5">
        <f t="shared" si="4"/>
        <v>0.17031177260150265</v>
      </c>
      <c r="O5" s="5">
        <f t="shared" si="5"/>
        <v>0.17726424764061655</v>
      </c>
    </row>
    <row r="6" spans="1:15" ht="15.6" customHeight="1" x14ac:dyDescent="0.3">
      <c r="A6" s="3">
        <v>1</v>
      </c>
      <c r="B6" s="3">
        <v>200</v>
      </c>
      <c r="C6" s="3">
        <v>1000</v>
      </c>
      <c r="D6" s="4">
        <v>0.03</v>
      </c>
      <c r="E6" s="3">
        <v>10</v>
      </c>
      <c r="F6" s="4">
        <v>0</v>
      </c>
      <c r="G6" s="4">
        <v>85.35</v>
      </c>
      <c r="H6" s="4">
        <v>58.89</v>
      </c>
      <c r="I6" s="4"/>
      <c r="J6" s="4">
        <f t="shared" si="0"/>
        <v>1.8622653140731587</v>
      </c>
      <c r="K6" s="5">
        <f t="shared" si="1"/>
        <v>8.4694772493289125</v>
      </c>
      <c r="L6" s="5">
        <f t="shared" si="2"/>
        <v>8.2876104847420109</v>
      </c>
      <c r="M6" s="5">
        <f t="shared" si="3"/>
        <v>8.6592940656299451</v>
      </c>
      <c r="N6" s="5">
        <f t="shared" si="4"/>
        <v>0.18186676458690165</v>
      </c>
      <c r="O6" s="5">
        <f t="shared" si="5"/>
        <v>0.18981681630103253</v>
      </c>
    </row>
    <row r="7" spans="1:15" ht="15.6" customHeight="1" x14ac:dyDescent="0.3">
      <c r="A7" s="3">
        <v>1</v>
      </c>
      <c r="B7" s="3">
        <v>200</v>
      </c>
      <c r="C7" s="3">
        <v>1000</v>
      </c>
      <c r="D7" s="4">
        <v>0.04</v>
      </c>
      <c r="E7" s="3">
        <v>10</v>
      </c>
      <c r="F7" s="4">
        <v>0</v>
      </c>
      <c r="G7" s="4">
        <v>85.74</v>
      </c>
      <c r="H7" s="4">
        <v>63.49</v>
      </c>
      <c r="I7" s="4"/>
      <c r="J7" s="4">
        <f t="shared" si="0"/>
        <v>2.0077300864409042</v>
      </c>
      <c r="K7" s="5">
        <f t="shared" si="1"/>
        <v>8.4496777120902973</v>
      </c>
      <c r="L7" s="5">
        <f t="shared" si="2"/>
        <v>8.2547913389393148</v>
      </c>
      <c r="M7" s="5">
        <f t="shared" si="3"/>
        <v>8.653722028882866</v>
      </c>
      <c r="N7" s="5">
        <f t="shared" si="4"/>
        <v>0.19488637315098245</v>
      </c>
      <c r="O7" s="5">
        <f t="shared" si="5"/>
        <v>0.20404431679256874</v>
      </c>
    </row>
    <row r="8" spans="1:15" ht="15.6" customHeight="1" x14ac:dyDescent="0.3">
      <c r="A8" s="3">
        <v>1</v>
      </c>
      <c r="B8" s="3">
        <v>200</v>
      </c>
      <c r="C8" s="3">
        <v>1000</v>
      </c>
      <c r="D8" s="4">
        <v>0.05</v>
      </c>
      <c r="E8" s="3">
        <v>10</v>
      </c>
      <c r="F8" s="4">
        <v>0</v>
      </c>
      <c r="G8" s="4">
        <v>83.94</v>
      </c>
      <c r="H8" s="4">
        <v>66.13</v>
      </c>
      <c r="I8" s="4"/>
      <c r="J8" s="4">
        <f t="shared" si="0"/>
        <v>2.091214216669349</v>
      </c>
      <c r="K8" s="5">
        <f t="shared" si="1"/>
        <v>8.5418228550817243</v>
      </c>
      <c r="L8" s="5">
        <f t="shared" si="2"/>
        <v>8.3347723537684573</v>
      </c>
      <c r="M8" s="5">
        <f t="shared" si="3"/>
        <v>8.7592408515554165</v>
      </c>
      <c r="N8" s="5">
        <f t="shared" si="4"/>
        <v>0.20705050131326708</v>
      </c>
      <c r="O8" s="5">
        <f t="shared" si="5"/>
        <v>0.2174179964736922</v>
      </c>
    </row>
    <row r="9" spans="1:15" ht="15.6" customHeight="1" x14ac:dyDescent="0.3">
      <c r="A9" s="3">
        <v>1</v>
      </c>
      <c r="B9" s="3">
        <v>200</v>
      </c>
      <c r="C9" s="3">
        <v>1000</v>
      </c>
      <c r="D9" s="4">
        <v>0.06</v>
      </c>
      <c r="E9" s="3">
        <v>10</v>
      </c>
      <c r="F9" s="4">
        <v>0</v>
      </c>
      <c r="G9" s="4">
        <v>84.1</v>
      </c>
      <c r="H9" s="4">
        <v>65.180000000000007</v>
      </c>
      <c r="I9" s="4"/>
      <c r="J9" s="4">
        <f t="shared" si="0"/>
        <v>2.0611725788977497</v>
      </c>
      <c r="K9" s="5">
        <f t="shared" si="1"/>
        <v>8.5335525458573152</v>
      </c>
      <c r="L9" s="5">
        <f t="shared" si="2"/>
        <v>8.3297870554255589</v>
      </c>
      <c r="M9" s="5">
        <f t="shared" si="3"/>
        <v>8.7473511268574775</v>
      </c>
      <c r="N9" s="5">
        <f t="shared" si="4"/>
        <v>0.20376549043175629</v>
      </c>
      <c r="O9" s="5">
        <f t="shared" si="5"/>
        <v>0.21379858100016236</v>
      </c>
    </row>
    <row r="10" spans="1:15" ht="15.6" customHeight="1" x14ac:dyDescent="0.3">
      <c r="A10" s="3">
        <v>1</v>
      </c>
      <c r="B10" s="3">
        <v>200</v>
      </c>
      <c r="C10" s="3">
        <v>1000</v>
      </c>
      <c r="D10" s="4">
        <v>7.0000000000000007E-2</v>
      </c>
      <c r="E10" s="3">
        <v>10</v>
      </c>
      <c r="F10" s="4">
        <v>0</v>
      </c>
      <c r="G10" s="4">
        <v>81.63</v>
      </c>
      <c r="H10" s="4">
        <v>64.239999999999995</v>
      </c>
      <c r="I10" s="4"/>
      <c r="J10" s="4">
        <f t="shared" si="0"/>
        <v>2.0314471688921669</v>
      </c>
      <c r="K10" s="5">
        <f t="shared" si="1"/>
        <v>8.6630145388422353</v>
      </c>
      <c r="L10" s="5">
        <f t="shared" si="2"/>
        <v>8.4561845179287083</v>
      </c>
      <c r="M10" s="5">
        <f t="shared" si="3"/>
        <v>8.880189430446384</v>
      </c>
      <c r="N10" s="5">
        <f t="shared" si="4"/>
        <v>0.20683002091352698</v>
      </c>
      <c r="O10" s="5">
        <f t="shared" si="5"/>
        <v>0.21717489160414871</v>
      </c>
    </row>
    <row r="11" spans="1:15" ht="15.6" customHeight="1" x14ac:dyDescent="0.3">
      <c r="A11" s="3">
        <v>1</v>
      </c>
      <c r="B11" s="3">
        <v>200</v>
      </c>
      <c r="C11" s="3">
        <v>1000</v>
      </c>
      <c r="D11" s="4">
        <v>0.08</v>
      </c>
      <c r="E11" s="3">
        <v>10</v>
      </c>
      <c r="F11" s="4">
        <v>0</v>
      </c>
      <c r="G11" s="4">
        <v>86.24</v>
      </c>
      <c r="H11" s="4">
        <v>64.59</v>
      </c>
      <c r="I11" s="4"/>
      <c r="J11" s="4">
        <f t="shared" si="0"/>
        <v>2.0425151407027564</v>
      </c>
      <c r="K11" s="5">
        <f t="shared" si="1"/>
        <v>8.4244250254098016</v>
      </c>
      <c r="L11" s="5">
        <f t="shared" si="2"/>
        <v>8.2273613944097512</v>
      </c>
      <c r="M11" s="5">
        <f t="shared" si="3"/>
        <v>8.6308573250057279</v>
      </c>
      <c r="N11" s="5">
        <f t="shared" si="4"/>
        <v>0.19706363100005042</v>
      </c>
      <c r="O11" s="5">
        <f t="shared" si="5"/>
        <v>0.20643229959592624</v>
      </c>
    </row>
    <row r="12" spans="1:15" ht="15.6" customHeight="1" x14ac:dyDescent="0.3">
      <c r="A12" s="3">
        <v>1</v>
      </c>
      <c r="B12" s="3">
        <v>200</v>
      </c>
      <c r="C12" s="3">
        <v>1000</v>
      </c>
      <c r="D12" s="4">
        <v>0.09</v>
      </c>
      <c r="E12" s="3">
        <v>10</v>
      </c>
      <c r="F12" s="4">
        <v>0</v>
      </c>
      <c r="G12" s="4">
        <v>88.52</v>
      </c>
      <c r="H12" s="4">
        <v>66.33</v>
      </c>
      <c r="I12" s="4"/>
      <c r="J12" s="4">
        <f t="shared" si="0"/>
        <v>2.0975387719896861</v>
      </c>
      <c r="K12" s="5">
        <f t="shared" si="1"/>
        <v>8.3110984512842343</v>
      </c>
      <c r="L12" s="5">
        <f t="shared" si="2"/>
        <v>8.1139407273977913</v>
      </c>
      <c r="M12" s="5">
        <f t="shared" si="3"/>
        <v>8.517634007107123</v>
      </c>
      <c r="N12" s="5">
        <f t="shared" si="4"/>
        <v>0.19715772388644304</v>
      </c>
      <c r="O12" s="5">
        <f t="shared" si="5"/>
        <v>0.20653555582288874</v>
      </c>
    </row>
    <row r="13" spans="1:15" ht="15.6" customHeight="1" x14ac:dyDescent="0.3">
      <c r="A13" s="3">
        <v>1</v>
      </c>
      <c r="B13" s="3">
        <v>200</v>
      </c>
      <c r="C13" s="3">
        <v>1000</v>
      </c>
      <c r="D13" s="4">
        <v>0.1</v>
      </c>
      <c r="E13" s="3">
        <v>10</v>
      </c>
      <c r="F13" s="4">
        <v>0</v>
      </c>
      <c r="G13" s="4">
        <v>90.14</v>
      </c>
      <c r="H13" s="4">
        <v>65.23</v>
      </c>
      <c r="I13" s="4"/>
      <c r="J13" s="4">
        <f t="shared" si="0"/>
        <v>2.0627537177278339</v>
      </c>
      <c r="K13" s="5">
        <f t="shared" si="1"/>
        <v>8.2323369664868498</v>
      </c>
      <c r="L13" s="5">
        <f t="shared" si="2"/>
        <v>8.041787430369558</v>
      </c>
      <c r="M13" s="5">
        <f t="shared" si="3"/>
        <v>8.4316321771921672</v>
      </c>
      <c r="N13" s="5">
        <f t="shared" si="4"/>
        <v>0.19054953611729175</v>
      </c>
      <c r="O13" s="5">
        <f t="shared" si="5"/>
        <v>0.19929521070531742</v>
      </c>
    </row>
    <row r="14" spans="1:15" ht="15.6" customHeight="1" x14ac:dyDescent="0.3">
      <c r="A14" s="3">
        <v>1</v>
      </c>
      <c r="B14" s="3">
        <v>200</v>
      </c>
      <c r="C14" s="3">
        <v>1000</v>
      </c>
      <c r="D14" s="4">
        <v>0.11</v>
      </c>
      <c r="E14" s="3">
        <v>10</v>
      </c>
      <c r="F14" s="4">
        <v>0</v>
      </c>
      <c r="G14" s="4">
        <v>95.35</v>
      </c>
      <c r="H14" s="4">
        <v>68.150000000000006</v>
      </c>
      <c r="I14" s="4"/>
      <c r="J14" s="4">
        <f t="shared" si="0"/>
        <v>2.1550922254047506</v>
      </c>
      <c r="K14" s="5">
        <f t="shared" si="1"/>
        <v>7.9883055300161923</v>
      </c>
      <c r="L14" s="5">
        <f t="shared" si="2"/>
        <v>7.8000538071321834</v>
      </c>
      <c r="M14" s="5">
        <f t="shared" si="3"/>
        <v>8.1850885147677985</v>
      </c>
      <c r="N14" s="5">
        <f t="shared" si="4"/>
        <v>0.18825172288400882</v>
      </c>
      <c r="O14" s="5">
        <f t="shared" si="5"/>
        <v>0.19678298475160627</v>
      </c>
    </row>
    <row r="15" spans="1:15" ht="15.6" customHeight="1" x14ac:dyDescent="0.3">
      <c r="A15" s="3">
        <v>1</v>
      </c>
      <c r="B15" s="3">
        <v>200</v>
      </c>
      <c r="C15" s="3">
        <v>1000</v>
      </c>
      <c r="D15" s="4">
        <v>0.12</v>
      </c>
      <c r="E15" s="3">
        <v>10</v>
      </c>
      <c r="F15" s="4">
        <v>0</v>
      </c>
      <c r="G15" s="4">
        <v>103.18</v>
      </c>
      <c r="H15" s="4">
        <v>68.31</v>
      </c>
      <c r="I15" s="4"/>
      <c r="J15" s="4">
        <f t="shared" si="0"/>
        <v>2.16015186966102</v>
      </c>
      <c r="K15" s="5">
        <f t="shared" si="1"/>
        <v>7.6455572684635413</v>
      </c>
      <c r="L15" s="5">
        <f t="shared" si="2"/>
        <v>7.4709077452716945</v>
      </c>
      <c r="M15" s="5">
        <f t="shared" si="3"/>
        <v>7.8275255914329636</v>
      </c>
      <c r="N15" s="5">
        <f t="shared" si="4"/>
        <v>0.17464952319184679</v>
      </c>
      <c r="O15" s="5">
        <f t="shared" si="5"/>
        <v>0.18196832296942222</v>
      </c>
    </row>
    <row r="16" spans="1:15" ht="15.6" customHeight="1" x14ac:dyDescent="0.3">
      <c r="A16" s="3">
        <v>1</v>
      </c>
      <c r="B16" s="3">
        <v>200</v>
      </c>
      <c r="C16" s="3">
        <v>1000</v>
      </c>
      <c r="D16" s="4">
        <v>0.13</v>
      </c>
      <c r="E16" s="3">
        <v>10</v>
      </c>
      <c r="F16" s="4">
        <v>0</v>
      </c>
      <c r="G16" s="4">
        <v>103.67</v>
      </c>
      <c r="H16" s="4">
        <v>63.79</v>
      </c>
      <c r="I16" s="4"/>
      <c r="J16" s="4">
        <f t="shared" si="0"/>
        <v>2.0172169194214091</v>
      </c>
      <c r="K16" s="5">
        <f t="shared" si="1"/>
        <v>7.6249815184817828</v>
      </c>
      <c r="L16" s="5">
        <f t="shared" si="2"/>
        <v>7.4624314954439432</v>
      </c>
      <c r="M16" s="5">
        <f t="shared" si="3"/>
        <v>7.7938529156036109</v>
      </c>
      <c r="N16" s="5">
        <f t="shared" si="4"/>
        <v>0.16255002303783961</v>
      </c>
      <c r="O16" s="5">
        <f t="shared" si="5"/>
        <v>0.16887139712182808</v>
      </c>
    </row>
    <row r="17" spans="1:15" ht="15.6" customHeight="1" x14ac:dyDescent="0.3">
      <c r="A17" s="3">
        <v>1</v>
      </c>
      <c r="B17" s="3">
        <v>200</v>
      </c>
      <c r="C17" s="3">
        <v>1000</v>
      </c>
      <c r="D17" s="4">
        <v>0.14000000000000001</v>
      </c>
      <c r="E17" s="3">
        <v>10</v>
      </c>
      <c r="F17" s="4">
        <v>0</v>
      </c>
      <c r="G17" s="4">
        <v>113.55</v>
      </c>
      <c r="H17" s="4">
        <v>64.760000000000005</v>
      </c>
      <c r="I17" s="4"/>
      <c r="J17" s="4">
        <f t="shared" si="0"/>
        <v>2.0478910127250427</v>
      </c>
      <c r="K17" s="5">
        <f t="shared" si="1"/>
        <v>7.2296411182788969</v>
      </c>
      <c r="L17" s="5">
        <f t="shared" si="2"/>
        <v>7.0787738987628934</v>
      </c>
      <c r="M17" s="5">
        <f t="shared" si="3"/>
        <v>7.3859384316169727</v>
      </c>
      <c r="N17" s="5">
        <f t="shared" si="4"/>
        <v>0.15086721951600346</v>
      </c>
      <c r="O17" s="5">
        <f t="shared" si="5"/>
        <v>0.15629731333807584</v>
      </c>
    </row>
    <row r="18" spans="1:15" ht="15.6" customHeight="1" x14ac:dyDescent="0.3">
      <c r="A18" s="3">
        <v>1</v>
      </c>
      <c r="B18" s="3">
        <v>200</v>
      </c>
      <c r="C18" s="3">
        <v>1000</v>
      </c>
      <c r="D18" s="4">
        <v>0.15</v>
      </c>
      <c r="E18" s="3">
        <v>10</v>
      </c>
      <c r="F18" s="4">
        <v>0</v>
      </c>
      <c r="G18" s="4">
        <v>128</v>
      </c>
      <c r="H18" s="4">
        <v>66.540000000000006</v>
      </c>
      <c r="I18" s="4"/>
      <c r="J18" s="4">
        <f t="shared" si="0"/>
        <v>2.10417955507604</v>
      </c>
      <c r="K18" s="5">
        <f t="shared" si="1"/>
        <v>6.7094128073577517</v>
      </c>
      <c r="L18" s="5">
        <f t="shared" si="2"/>
        <v>6.571689062067108</v>
      </c>
      <c r="M18" s="5">
        <f t="shared" si="3"/>
        <v>6.851647498724466</v>
      </c>
      <c r="N18" s="5">
        <f t="shared" si="4"/>
        <v>0.13772374529064368</v>
      </c>
      <c r="O18" s="5">
        <f t="shared" si="5"/>
        <v>0.14223469136671429</v>
      </c>
    </row>
    <row r="19" spans="1:15" ht="15.6" customHeight="1" x14ac:dyDescent="0.3">
      <c r="A19" s="3">
        <v>1</v>
      </c>
      <c r="B19" s="3">
        <v>200</v>
      </c>
      <c r="C19" s="3">
        <v>1000</v>
      </c>
      <c r="D19" s="4">
        <v>0.16</v>
      </c>
      <c r="E19" s="3">
        <v>10</v>
      </c>
      <c r="F19" s="4">
        <v>0</v>
      </c>
      <c r="G19" s="4">
        <v>138.88</v>
      </c>
      <c r="H19" s="4">
        <v>65.06</v>
      </c>
      <c r="I19" s="4"/>
      <c r="J19" s="4">
        <f t="shared" si="0"/>
        <v>2.0573778457055476</v>
      </c>
      <c r="K19" s="5">
        <f t="shared" si="1"/>
        <v>6.3551154255122704</v>
      </c>
      <c r="L19" s="5">
        <f t="shared" si="2"/>
        <v>6.230811536839191</v>
      </c>
      <c r="M19" s="5">
        <f t="shared" si="3"/>
        <v>6.4830822414064428</v>
      </c>
      <c r="N19" s="5">
        <f t="shared" si="4"/>
        <v>0.1243038886730794</v>
      </c>
      <c r="O19" s="5">
        <f t="shared" si="5"/>
        <v>0.12796681589417247</v>
      </c>
    </row>
    <row r="20" spans="1:15" ht="15.6" customHeight="1" x14ac:dyDescent="0.3">
      <c r="A20" s="3">
        <v>1</v>
      </c>
      <c r="B20" s="3">
        <v>200</v>
      </c>
      <c r="C20" s="3">
        <v>1000</v>
      </c>
      <c r="D20" s="4">
        <v>0.17</v>
      </c>
      <c r="E20" s="3">
        <v>10</v>
      </c>
      <c r="F20" s="4">
        <v>0</v>
      </c>
      <c r="G20" s="4">
        <v>155.69</v>
      </c>
      <c r="H20" s="4">
        <v>64.88</v>
      </c>
      <c r="I20" s="4"/>
      <c r="J20" s="4">
        <f t="shared" si="0"/>
        <v>2.0516857459172444</v>
      </c>
      <c r="K20" s="5">
        <f t="shared" si="1"/>
        <v>5.8589053174160011</v>
      </c>
      <c r="L20" s="5">
        <f t="shared" si="2"/>
        <v>5.7481559462080591</v>
      </c>
      <c r="M20" s="5">
        <f t="shared" si="3"/>
        <v>5.9725529770697916</v>
      </c>
      <c r="N20" s="5">
        <f t="shared" si="4"/>
        <v>0.11074937120794193</v>
      </c>
      <c r="O20" s="5">
        <f t="shared" si="5"/>
        <v>0.11364765965379053</v>
      </c>
    </row>
    <row r="21" spans="1:15" ht="15.6" customHeight="1" x14ac:dyDescent="0.3">
      <c r="A21" s="3">
        <v>1</v>
      </c>
      <c r="B21" s="3">
        <v>200</v>
      </c>
      <c r="C21" s="3">
        <v>1000</v>
      </c>
      <c r="D21" s="4">
        <v>0.18</v>
      </c>
      <c r="E21" s="3">
        <v>10</v>
      </c>
      <c r="F21" s="4">
        <v>0</v>
      </c>
      <c r="G21" s="4">
        <v>174.61</v>
      </c>
      <c r="H21" s="4">
        <v>62.88</v>
      </c>
      <c r="I21" s="4"/>
      <c r="J21" s="4">
        <f t="shared" si="0"/>
        <v>1.9884401927138771</v>
      </c>
      <c r="K21" s="5">
        <f t="shared" si="1"/>
        <v>5.3608213804470335</v>
      </c>
      <c r="L21" s="5">
        <f t="shared" si="2"/>
        <v>5.2649516516088148</v>
      </c>
      <c r="M21" s="5">
        <f t="shared" si="3"/>
        <v>5.4588552799178096</v>
      </c>
      <c r="N21" s="5">
        <f t="shared" si="4"/>
        <v>9.5869728838218649E-2</v>
      </c>
      <c r="O21" s="5">
        <f t="shared" si="5"/>
        <v>9.803389947077612E-2</v>
      </c>
    </row>
    <row r="22" spans="1:15" ht="15.6" customHeight="1" x14ac:dyDescent="0.3">
      <c r="A22" s="3">
        <v>1</v>
      </c>
      <c r="B22" s="3">
        <v>200</v>
      </c>
      <c r="C22" s="3">
        <v>1000</v>
      </c>
      <c r="D22" s="4">
        <v>0.19</v>
      </c>
      <c r="E22" s="3">
        <v>10</v>
      </c>
      <c r="F22" s="4">
        <v>0</v>
      </c>
      <c r="G22" s="4">
        <v>192.48</v>
      </c>
      <c r="H22" s="4">
        <v>57.88</v>
      </c>
      <c r="I22" s="4"/>
      <c r="J22" s="4">
        <f t="shared" si="0"/>
        <v>1.8303263097054581</v>
      </c>
      <c r="K22" s="5">
        <f t="shared" si="1"/>
        <v>4.9376564038787416</v>
      </c>
      <c r="L22" s="5">
        <f t="shared" si="2"/>
        <v>4.8574577293447545</v>
      </c>
      <c r="M22" s="5">
        <f t="shared" si="3"/>
        <v>5.0193639689024261</v>
      </c>
      <c r="N22" s="5">
        <f t="shared" si="4"/>
        <v>8.0198674533987102E-2</v>
      </c>
      <c r="O22" s="5">
        <f t="shared" si="5"/>
        <v>8.1707565023684481E-2</v>
      </c>
    </row>
    <row r="23" spans="1:15" ht="15.6" customHeight="1" x14ac:dyDescent="0.3">
      <c r="A23" s="3">
        <v>1</v>
      </c>
      <c r="B23" s="3">
        <v>200</v>
      </c>
      <c r="C23" s="3">
        <v>1000</v>
      </c>
      <c r="D23" s="4">
        <v>0.2</v>
      </c>
      <c r="E23" s="3">
        <v>10</v>
      </c>
      <c r="F23" s="4">
        <v>0</v>
      </c>
      <c r="G23" s="4">
        <v>208.26</v>
      </c>
      <c r="H23" s="4">
        <v>54.39</v>
      </c>
      <c r="I23" s="4"/>
      <c r="J23" s="4">
        <f t="shared" si="0"/>
        <v>1.7199628193655816</v>
      </c>
      <c r="K23" s="5">
        <f t="shared" si="1"/>
        <v>4.5954538632858801</v>
      </c>
      <c r="L23" s="5">
        <f t="shared" si="2"/>
        <v>4.5257170542862575</v>
      </c>
      <c r="M23" s="5">
        <f t="shared" si="3"/>
        <v>4.6663287705136316</v>
      </c>
      <c r="N23" s="5">
        <f t="shared" si="4"/>
        <v>6.9736808999622646E-2</v>
      </c>
      <c r="O23" s="5">
        <f t="shared" si="5"/>
        <v>7.0874907227751471E-2</v>
      </c>
    </row>
    <row r="24" spans="1:15" ht="15.6" customHeight="1" x14ac:dyDescent="0.3">
      <c r="A24" s="13" t="s">
        <v>15</v>
      </c>
      <c r="B24" s="7"/>
      <c r="C24" s="7"/>
      <c r="D24" s="8"/>
      <c r="E24" s="7"/>
      <c r="F24" s="8"/>
      <c r="G24" s="8"/>
      <c r="H24" s="8"/>
      <c r="I24" s="8"/>
      <c r="J24" s="9"/>
      <c r="K24" s="10"/>
      <c r="L24" s="10"/>
      <c r="M24" s="10"/>
      <c r="N24" s="10"/>
      <c r="O24" s="10"/>
    </row>
    <row r="25" spans="1:15" ht="15.6" customHeight="1" x14ac:dyDescent="0.3">
      <c r="A25" s="3">
        <v>2</v>
      </c>
      <c r="B25" s="3">
        <v>200</v>
      </c>
      <c r="C25" s="3">
        <v>1000</v>
      </c>
      <c r="D25" s="14">
        <v>0</v>
      </c>
      <c r="E25" s="3">
        <v>10</v>
      </c>
      <c r="F25" s="4">
        <v>0</v>
      </c>
      <c r="G25" s="4">
        <v>78.05</v>
      </c>
      <c r="H25" s="4">
        <v>16.13</v>
      </c>
      <c r="I25" s="4"/>
      <c r="J25" s="4">
        <f t="shared" ref="J25:J45" si="6">H25/SQRT(C25)</f>
        <v>0.51007538658515961</v>
      </c>
      <c r="K25" s="5">
        <f t="shared" ref="K25:K45" si="7">-10*LOG10(G25/(B25*3))</f>
        <v>8.8577834298520735</v>
      </c>
      <c r="L25" s="5">
        <f t="shared" ref="L25:L45" si="8">-10*LOG10((G25+1.96*J25)/(B25*3))</f>
        <v>8.802507619169436</v>
      </c>
      <c r="M25" s="5">
        <f t="shared" ref="M25:M45" si="9">-10*LOG10((G25-1.96*J25)/(B25*3))</f>
        <v>8.9137718556078678</v>
      </c>
      <c r="N25" s="5">
        <f t="shared" ref="N25:N45" si="10">K25-L25</f>
        <v>5.5275810682637427E-2</v>
      </c>
      <c r="O25" s="5">
        <f t="shared" ref="O25:O45" si="11">M25-K25</f>
        <v>5.5988425755794324E-2</v>
      </c>
    </row>
    <row r="26" spans="1:15" ht="15.6" customHeight="1" x14ac:dyDescent="0.3">
      <c r="A26" s="3">
        <v>2</v>
      </c>
      <c r="B26" s="3">
        <v>200</v>
      </c>
      <c r="C26" s="3">
        <v>1000</v>
      </c>
      <c r="D26" s="4">
        <v>0.01</v>
      </c>
      <c r="E26" s="3">
        <v>10</v>
      </c>
      <c r="F26" s="3">
        <v>0</v>
      </c>
      <c r="G26" s="4">
        <v>78.08</v>
      </c>
      <c r="H26" s="4">
        <v>15.78</v>
      </c>
      <c r="I26" s="4"/>
      <c r="J26" s="4">
        <f t="shared" si="6"/>
        <v>0.49900741477457022</v>
      </c>
      <c r="K26" s="5">
        <f t="shared" si="7"/>
        <v>8.8561144572500829</v>
      </c>
      <c r="L26" s="5">
        <f t="shared" si="8"/>
        <v>8.8020512739916423</v>
      </c>
      <c r="M26" s="5">
        <f t="shared" si="9"/>
        <v>8.9108591390283696</v>
      </c>
      <c r="N26" s="5">
        <f t="shared" si="10"/>
        <v>5.4063183258440617E-2</v>
      </c>
      <c r="O26" s="5">
        <f t="shared" si="11"/>
        <v>5.4744681778286619E-2</v>
      </c>
    </row>
    <row r="27" spans="1:15" ht="15.6" customHeight="1" x14ac:dyDescent="0.3">
      <c r="A27" s="3">
        <v>2</v>
      </c>
      <c r="B27" s="3">
        <v>200</v>
      </c>
      <c r="C27" s="3">
        <v>1000</v>
      </c>
      <c r="D27" s="4">
        <v>0.02</v>
      </c>
      <c r="E27" s="3">
        <v>10</v>
      </c>
      <c r="F27" s="4">
        <v>0</v>
      </c>
      <c r="G27" s="4">
        <v>75.75</v>
      </c>
      <c r="H27" s="4">
        <v>14.68</v>
      </c>
      <c r="I27" s="4"/>
      <c r="J27" s="4">
        <f t="shared" si="6"/>
        <v>0.46422236051271809</v>
      </c>
      <c r="K27" s="5">
        <f t="shared" si="7"/>
        <v>8.9876861320930104</v>
      </c>
      <c r="L27" s="5">
        <f t="shared" si="8"/>
        <v>8.9358313893340267</v>
      </c>
      <c r="M27" s="5">
        <f t="shared" si="9"/>
        <v>9.0401675098143901</v>
      </c>
      <c r="N27" s="5">
        <f t="shared" si="10"/>
        <v>5.1854742758983718E-2</v>
      </c>
      <c r="O27" s="5">
        <f t="shared" si="11"/>
        <v>5.2481377721379729E-2</v>
      </c>
    </row>
    <row r="28" spans="1:15" ht="15.6" customHeight="1" x14ac:dyDescent="0.3">
      <c r="A28" s="3">
        <v>2</v>
      </c>
      <c r="B28" s="3">
        <v>200</v>
      </c>
      <c r="C28" s="3">
        <v>1000</v>
      </c>
      <c r="D28" s="4">
        <v>0.03</v>
      </c>
      <c r="E28" s="3">
        <v>10</v>
      </c>
      <c r="F28" s="4">
        <v>0</v>
      </c>
      <c r="G28" s="4">
        <v>72.680000000000007</v>
      </c>
      <c r="H28" s="4">
        <v>14.96</v>
      </c>
      <c r="I28" s="4"/>
      <c r="J28" s="4">
        <f t="shared" si="6"/>
        <v>0.4730767379611896</v>
      </c>
      <c r="K28" s="5">
        <f t="shared" si="7"/>
        <v>9.1673633174764682</v>
      </c>
      <c r="L28" s="5">
        <f t="shared" si="8"/>
        <v>9.1123077339164062</v>
      </c>
      <c r="M28" s="5">
        <f t="shared" si="9"/>
        <v>9.2231258127027278</v>
      </c>
      <c r="N28" s="5">
        <f t="shared" si="10"/>
        <v>5.5055583560061905E-2</v>
      </c>
      <c r="O28" s="5">
        <f t="shared" si="11"/>
        <v>5.5762495226259645E-2</v>
      </c>
    </row>
    <row r="29" spans="1:15" ht="15.6" customHeight="1" x14ac:dyDescent="0.3">
      <c r="A29" s="3">
        <v>2</v>
      </c>
      <c r="B29" s="3">
        <v>200</v>
      </c>
      <c r="C29" s="3">
        <v>1000</v>
      </c>
      <c r="D29" s="4">
        <v>0.04</v>
      </c>
      <c r="E29" s="3">
        <v>10</v>
      </c>
      <c r="F29" s="4">
        <v>0</v>
      </c>
      <c r="G29" s="4">
        <v>68.930000000000007</v>
      </c>
      <c r="H29" s="4">
        <v>14.85</v>
      </c>
      <c r="I29" s="4"/>
      <c r="J29" s="4">
        <f t="shared" si="6"/>
        <v>0.46959823253500432</v>
      </c>
      <c r="K29" s="5">
        <f t="shared" si="7"/>
        <v>9.3974297188945677</v>
      </c>
      <c r="L29" s="5">
        <f t="shared" si="8"/>
        <v>9.3398227498743243</v>
      </c>
      <c r="M29" s="5">
        <f t="shared" si="9"/>
        <v>9.4558110989345963</v>
      </c>
      <c r="N29" s="5">
        <f t="shared" si="10"/>
        <v>5.7606969020243426E-2</v>
      </c>
      <c r="O29" s="5">
        <f t="shared" si="11"/>
        <v>5.8381380040028574E-2</v>
      </c>
    </row>
    <row r="30" spans="1:15" ht="15.6" customHeight="1" x14ac:dyDescent="0.3">
      <c r="A30" s="3">
        <v>2</v>
      </c>
      <c r="B30" s="3">
        <v>200</v>
      </c>
      <c r="C30" s="3">
        <v>1000</v>
      </c>
      <c r="D30" s="4">
        <v>0.05</v>
      </c>
      <c r="E30" s="3">
        <v>10</v>
      </c>
      <c r="F30" s="4">
        <v>0</v>
      </c>
      <c r="G30" s="4">
        <v>62.95</v>
      </c>
      <c r="H30" s="4">
        <v>13.58</v>
      </c>
      <c r="I30" s="4"/>
      <c r="J30" s="4">
        <f t="shared" si="6"/>
        <v>0.4294373062508659</v>
      </c>
      <c r="K30" s="5">
        <f t="shared" si="7"/>
        <v>9.7915551593976229</v>
      </c>
      <c r="L30" s="5">
        <f t="shared" si="8"/>
        <v>9.733870940686419</v>
      </c>
      <c r="M30" s="5">
        <f t="shared" si="9"/>
        <v>9.8500158814872503</v>
      </c>
      <c r="N30" s="5">
        <f t="shared" si="10"/>
        <v>5.7684218711203883E-2</v>
      </c>
      <c r="O30" s="5">
        <f t="shared" si="11"/>
        <v>5.8460722089627382E-2</v>
      </c>
    </row>
    <row r="31" spans="1:15" ht="15.6" customHeight="1" x14ac:dyDescent="0.3">
      <c r="A31" s="3">
        <v>2</v>
      </c>
      <c r="B31" s="3">
        <v>200</v>
      </c>
      <c r="C31" s="3">
        <v>1000</v>
      </c>
      <c r="D31" s="4">
        <v>0.06</v>
      </c>
      <c r="E31" s="3">
        <v>10</v>
      </c>
      <c r="F31" s="4">
        <v>0</v>
      </c>
      <c r="G31" s="4">
        <v>59.4</v>
      </c>
      <c r="H31" s="4">
        <v>13.67</v>
      </c>
      <c r="I31" s="4"/>
      <c r="J31" s="4">
        <f t="shared" si="6"/>
        <v>0.43228335614501745</v>
      </c>
      <c r="K31" s="5">
        <f t="shared" si="7"/>
        <v>10.043648054024501</v>
      </c>
      <c r="L31" s="5">
        <f t="shared" si="8"/>
        <v>9.9821383922033533</v>
      </c>
      <c r="M31" s="5">
        <f t="shared" si="9"/>
        <v>10.106041415687821</v>
      </c>
      <c r="N31" s="5">
        <f t="shared" si="10"/>
        <v>6.1509661821148143E-2</v>
      </c>
      <c r="O31" s="5">
        <f t="shared" si="11"/>
        <v>6.239336166331988E-2</v>
      </c>
    </row>
    <row r="32" spans="1:15" ht="15.6" customHeight="1" x14ac:dyDescent="0.3">
      <c r="A32" s="3">
        <v>2</v>
      </c>
      <c r="B32" s="3">
        <v>200</v>
      </c>
      <c r="C32" s="3">
        <v>1000</v>
      </c>
      <c r="D32" s="4">
        <v>7.0000000000000007E-2</v>
      </c>
      <c r="E32" s="3">
        <v>10</v>
      </c>
      <c r="F32" s="4">
        <v>0</v>
      </c>
      <c r="G32" s="4">
        <v>56.48</v>
      </c>
      <c r="H32" s="4">
        <v>14.57</v>
      </c>
      <c r="I32" s="4"/>
      <c r="J32" s="4">
        <f t="shared" si="6"/>
        <v>0.46074385508653287</v>
      </c>
      <c r="K32" s="5">
        <f t="shared" si="7"/>
        <v>10.262565623398963</v>
      </c>
      <c r="L32" s="5">
        <f t="shared" si="8"/>
        <v>10.193675622070774</v>
      </c>
      <c r="M32" s="5">
        <f t="shared" si="9"/>
        <v>10.332566030473451</v>
      </c>
      <c r="N32" s="5">
        <f t="shared" si="10"/>
        <v>6.8890001328188788E-2</v>
      </c>
      <c r="O32" s="5">
        <f t="shared" si="11"/>
        <v>7.000040707448818E-2</v>
      </c>
    </row>
    <row r="33" spans="1:15" ht="15.6" customHeight="1" x14ac:dyDescent="0.3">
      <c r="A33" s="3">
        <v>2</v>
      </c>
      <c r="B33" s="3">
        <v>200</v>
      </c>
      <c r="C33" s="3">
        <v>1000</v>
      </c>
      <c r="D33" s="4">
        <v>0.08</v>
      </c>
      <c r="E33" s="3">
        <v>10</v>
      </c>
      <c r="F33" s="3">
        <v>0</v>
      </c>
      <c r="G33" s="4">
        <v>56.04</v>
      </c>
      <c r="H33" s="4">
        <v>13.85</v>
      </c>
      <c r="I33" s="4"/>
      <c r="J33" s="4">
        <f t="shared" si="6"/>
        <v>0.43797545593332055</v>
      </c>
      <c r="K33" s="5">
        <f t="shared" si="7"/>
        <v>10.296531237699067</v>
      </c>
      <c r="L33" s="5">
        <f t="shared" si="8"/>
        <v>10.230509528695586</v>
      </c>
      <c r="M33" s="5">
        <f t="shared" si="9"/>
        <v>10.363572126263525</v>
      </c>
      <c r="N33" s="5">
        <f t="shared" si="10"/>
        <v>6.6021709003480922E-2</v>
      </c>
      <c r="O33" s="5">
        <f t="shared" si="11"/>
        <v>6.7040888564458001E-2</v>
      </c>
    </row>
    <row r="34" spans="1:15" ht="15.6" customHeight="1" x14ac:dyDescent="0.3">
      <c r="A34" s="3">
        <v>2</v>
      </c>
      <c r="B34" s="3">
        <v>200</v>
      </c>
      <c r="C34" s="3">
        <v>1000</v>
      </c>
      <c r="D34" s="4">
        <v>0.09</v>
      </c>
      <c r="E34" s="3">
        <v>10</v>
      </c>
      <c r="F34" s="4">
        <v>0</v>
      </c>
      <c r="G34" s="4">
        <v>56.17</v>
      </c>
      <c r="H34" s="4">
        <v>12.75</v>
      </c>
      <c r="I34" s="4"/>
      <c r="J34" s="4">
        <f t="shared" si="6"/>
        <v>0.40319040167146836</v>
      </c>
      <c r="K34" s="5">
        <f t="shared" si="7"/>
        <v>10.286468265075012</v>
      </c>
      <c r="L34" s="5">
        <f t="shared" si="8"/>
        <v>10.225793393195818</v>
      </c>
      <c r="M34" s="5">
        <f t="shared" si="9"/>
        <v>10.34800284493919</v>
      </c>
      <c r="N34" s="5">
        <f t="shared" si="10"/>
        <v>6.0674871879193404E-2</v>
      </c>
      <c r="O34" s="5">
        <f t="shared" si="11"/>
        <v>6.1534579864177985E-2</v>
      </c>
    </row>
    <row r="35" spans="1:15" ht="15.6" customHeight="1" x14ac:dyDescent="0.3">
      <c r="A35" s="3">
        <v>2</v>
      </c>
      <c r="B35" s="3">
        <v>200</v>
      </c>
      <c r="C35" s="3">
        <v>1000</v>
      </c>
      <c r="D35" s="4">
        <v>0.1</v>
      </c>
      <c r="E35" s="3">
        <v>10</v>
      </c>
      <c r="F35" s="3">
        <v>0</v>
      </c>
      <c r="G35" s="4">
        <v>58.49</v>
      </c>
      <c r="H35" s="4">
        <v>13.03</v>
      </c>
      <c r="I35" s="4"/>
      <c r="J35" s="4">
        <f t="shared" si="6"/>
        <v>0.41204477911993981</v>
      </c>
      <c r="K35" s="5">
        <f t="shared" si="7"/>
        <v>10.110696290203213</v>
      </c>
      <c r="L35" s="5">
        <f t="shared" si="8"/>
        <v>10.051140773316103</v>
      </c>
      <c r="M35" s="5">
        <f t="shared" si="9"/>
        <v>10.171079870215284</v>
      </c>
      <c r="N35" s="5">
        <f t="shared" si="10"/>
        <v>5.9555516887110471E-2</v>
      </c>
      <c r="O35" s="5">
        <f t="shared" si="11"/>
        <v>6.0383580012070226E-2</v>
      </c>
    </row>
    <row r="36" spans="1:15" ht="15.6" customHeight="1" x14ac:dyDescent="0.3">
      <c r="A36" s="3">
        <v>2</v>
      </c>
      <c r="B36" s="3">
        <v>200</v>
      </c>
      <c r="C36" s="3">
        <v>1000</v>
      </c>
      <c r="D36" s="4">
        <v>0.11</v>
      </c>
      <c r="E36" s="3">
        <v>10</v>
      </c>
      <c r="F36" s="3">
        <v>0</v>
      </c>
      <c r="G36" s="4">
        <v>60.12</v>
      </c>
      <c r="H36" s="4">
        <v>13.05</v>
      </c>
      <c r="I36" s="4"/>
      <c r="J36" s="4">
        <f t="shared" si="6"/>
        <v>0.41267723465197353</v>
      </c>
      <c r="K36" s="5">
        <f t="shared" si="7"/>
        <v>9.9913227846877302</v>
      </c>
      <c r="L36" s="5">
        <f t="shared" si="8"/>
        <v>9.933282879374314</v>
      </c>
      <c r="M36" s="5">
        <f t="shared" si="9"/>
        <v>10.050148864299347</v>
      </c>
      <c r="N36" s="5">
        <f t="shared" si="10"/>
        <v>5.8039905313416185E-2</v>
      </c>
      <c r="O36" s="5">
        <f t="shared" si="11"/>
        <v>5.8826079611616677E-2</v>
      </c>
    </row>
    <row r="37" spans="1:15" ht="15.6" customHeight="1" x14ac:dyDescent="0.3">
      <c r="A37" s="3">
        <v>2</v>
      </c>
      <c r="B37" s="3">
        <v>200</v>
      </c>
      <c r="C37" s="3">
        <v>1000</v>
      </c>
      <c r="D37" s="4">
        <v>0.12</v>
      </c>
      <c r="E37" s="3">
        <v>10</v>
      </c>
      <c r="F37" s="4">
        <v>0</v>
      </c>
      <c r="G37" s="4">
        <v>64.260000000000005</v>
      </c>
      <c r="H37" s="4">
        <v>15.42</v>
      </c>
      <c r="I37" s="4"/>
      <c r="J37" s="4">
        <f t="shared" si="6"/>
        <v>0.48762321519796409</v>
      </c>
      <c r="K37" s="5">
        <f t="shared" si="7"/>
        <v>9.702105291681443</v>
      </c>
      <c r="L37" s="5">
        <f t="shared" si="8"/>
        <v>9.6379881382012016</v>
      </c>
      <c r="M37" s="5">
        <f t="shared" si="9"/>
        <v>9.7671832425148644</v>
      </c>
      <c r="N37" s="5">
        <f t="shared" si="10"/>
        <v>6.4117153480241385E-2</v>
      </c>
      <c r="O37" s="5">
        <f t="shared" si="11"/>
        <v>6.5077950833421383E-2</v>
      </c>
    </row>
    <row r="38" spans="1:15" ht="15.6" customHeight="1" x14ac:dyDescent="0.3">
      <c r="A38" s="3">
        <v>2</v>
      </c>
      <c r="B38" s="3">
        <v>200</v>
      </c>
      <c r="C38" s="3">
        <v>1000</v>
      </c>
      <c r="D38" s="4">
        <v>0.13</v>
      </c>
      <c r="E38" s="3">
        <v>10</v>
      </c>
      <c r="F38" s="4">
        <v>0</v>
      </c>
      <c r="G38" s="4">
        <v>68.02</v>
      </c>
      <c r="H38" s="4">
        <v>15.25</v>
      </c>
      <c r="I38" s="4"/>
      <c r="J38" s="4">
        <f t="shared" si="6"/>
        <v>0.48224734317567786</v>
      </c>
      <c r="K38" s="5">
        <f t="shared" si="7"/>
        <v>9.4551462278694025</v>
      </c>
      <c r="L38" s="5">
        <f t="shared" si="8"/>
        <v>9.3952122019724307</v>
      </c>
      <c r="M38" s="5">
        <f t="shared" si="9"/>
        <v>9.5159189502464585</v>
      </c>
      <c r="N38" s="5">
        <f t="shared" si="10"/>
        <v>5.9934025896971832E-2</v>
      </c>
      <c r="O38" s="5">
        <f t="shared" si="11"/>
        <v>6.0772722377055999E-2</v>
      </c>
    </row>
    <row r="39" spans="1:15" ht="15.6" customHeight="1" x14ac:dyDescent="0.3">
      <c r="A39" s="3">
        <v>2</v>
      </c>
      <c r="B39" s="3">
        <v>200</v>
      </c>
      <c r="C39" s="3">
        <v>1000</v>
      </c>
      <c r="D39" s="4">
        <v>0.14000000000000001</v>
      </c>
      <c r="E39" s="3">
        <v>10</v>
      </c>
      <c r="F39" s="4">
        <v>0</v>
      </c>
      <c r="G39" s="4">
        <v>74.73</v>
      </c>
      <c r="H39" s="4">
        <v>13.72</v>
      </c>
      <c r="I39" s="4"/>
      <c r="J39" s="4">
        <f t="shared" si="6"/>
        <v>0.43386449497510166</v>
      </c>
      <c r="K39" s="5">
        <f t="shared" si="7"/>
        <v>9.0465626812747466</v>
      </c>
      <c r="L39" s="5">
        <f t="shared" si="8"/>
        <v>8.9974221138878345</v>
      </c>
      <c r="M39" s="5">
        <f t="shared" si="9"/>
        <v>9.0962656454498312</v>
      </c>
      <c r="N39" s="5">
        <f t="shared" si="10"/>
        <v>4.9140567386912082E-2</v>
      </c>
      <c r="O39" s="5">
        <f t="shared" si="11"/>
        <v>4.9702964175084574E-2</v>
      </c>
    </row>
    <row r="40" spans="1:15" ht="15.6" customHeight="1" x14ac:dyDescent="0.3">
      <c r="A40" s="3">
        <v>2</v>
      </c>
      <c r="B40" s="3">
        <v>200</v>
      </c>
      <c r="C40" s="3">
        <v>1000</v>
      </c>
      <c r="D40" s="4">
        <v>0.15</v>
      </c>
      <c r="E40" s="3">
        <v>10</v>
      </c>
      <c r="F40" s="4">
        <v>0</v>
      </c>
      <c r="G40" s="4">
        <v>81.92</v>
      </c>
      <c r="H40" s="4">
        <v>14.79</v>
      </c>
      <c r="I40" s="4"/>
      <c r="J40" s="4">
        <f t="shared" si="6"/>
        <v>0.46770086593890331</v>
      </c>
      <c r="K40" s="5">
        <f t="shared" si="7"/>
        <v>8.6476130675188809</v>
      </c>
      <c r="L40" s="5">
        <f t="shared" si="8"/>
        <v>8.5992849403112963</v>
      </c>
      <c r="M40" s="5">
        <f t="shared" si="9"/>
        <v>8.6964850459463587</v>
      </c>
      <c r="N40" s="5">
        <f t="shared" si="10"/>
        <v>4.8328127207584615E-2</v>
      </c>
      <c r="O40" s="5">
        <f t="shared" si="11"/>
        <v>4.8871978427477814E-2</v>
      </c>
    </row>
    <row r="41" spans="1:15" ht="15.6" customHeight="1" x14ac:dyDescent="0.3">
      <c r="A41" s="3">
        <v>2</v>
      </c>
      <c r="B41" s="3">
        <v>200</v>
      </c>
      <c r="C41" s="3">
        <v>1000</v>
      </c>
      <c r="D41" s="4">
        <v>0.16</v>
      </c>
      <c r="E41" s="3">
        <v>10</v>
      </c>
      <c r="F41" s="4">
        <v>0</v>
      </c>
      <c r="G41" s="4">
        <v>92.89</v>
      </c>
      <c r="H41" s="4">
        <v>15.6</v>
      </c>
      <c r="I41" s="4"/>
      <c r="J41" s="4">
        <f t="shared" si="6"/>
        <v>0.49331531498626718</v>
      </c>
      <c r="K41" s="5">
        <f t="shared" si="7"/>
        <v>8.101822875049514</v>
      </c>
      <c r="L41" s="5">
        <f t="shared" si="8"/>
        <v>8.0568505375881614</v>
      </c>
      <c r="M41" s="5">
        <f t="shared" si="9"/>
        <v>8.1472657901143144</v>
      </c>
      <c r="N41" s="5">
        <f t="shared" si="10"/>
        <v>4.4972337461352652E-2</v>
      </c>
      <c r="O41" s="5">
        <f t="shared" si="11"/>
        <v>4.544291506480036E-2</v>
      </c>
    </row>
    <row r="42" spans="1:15" ht="15.6" customHeight="1" x14ac:dyDescent="0.3">
      <c r="A42" s="3">
        <v>2</v>
      </c>
      <c r="B42" s="3">
        <v>200</v>
      </c>
      <c r="C42" s="3">
        <v>1000</v>
      </c>
      <c r="D42" s="4">
        <v>0.17</v>
      </c>
      <c r="E42" s="3">
        <v>10</v>
      </c>
      <c r="F42" s="4">
        <v>0</v>
      </c>
      <c r="G42" s="4">
        <v>106.94</v>
      </c>
      <c r="H42" s="4">
        <v>18.059999999999999</v>
      </c>
      <c r="I42" s="4"/>
      <c r="J42" s="4">
        <f t="shared" si="6"/>
        <v>0.57110734542640929</v>
      </c>
      <c r="K42" s="5">
        <f t="shared" si="7"/>
        <v>7.4901107061932182</v>
      </c>
      <c r="L42" s="5">
        <f t="shared" si="8"/>
        <v>7.4448881756996999</v>
      </c>
      <c r="M42" s="5">
        <f t="shared" si="9"/>
        <v>7.5358090924997825</v>
      </c>
      <c r="N42" s="5">
        <f t="shared" si="10"/>
        <v>4.522253049351832E-2</v>
      </c>
      <c r="O42" s="5">
        <f t="shared" si="11"/>
        <v>4.5698386306564309E-2</v>
      </c>
    </row>
    <row r="43" spans="1:15" ht="15.6" customHeight="1" x14ac:dyDescent="0.3">
      <c r="A43" s="3">
        <v>2</v>
      </c>
      <c r="B43" s="3">
        <v>200</v>
      </c>
      <c r="C43" s="3">
        <v>1000</v>
      </c>
      <c r="D43" s="4">
        <v>0.18</v>
      </c>
      <c r="E43" s="3">
        <v>10</v>
      </c>
      <c r="F43" s="4">
        <v>0</v>
      </c>
      <c r="G43" s="4">
        <v>121.34</v>
      </c>
      <c r="H43" s="4">
        <v>18.55</v>
      </c>
      <c r="I43" s="4"/>
      <c r="J43" s="4">
        <f t="shared" si="6"/>
        <v>0.58660250596123442</v>
      </c>
      <c r="K43" s="5">
        <f t="shared" si="7"/>
        <v>6.9414725977561424</v>
      </c>
      <c r="L43" s="5">
        <f t="shared" si="8"/>
        <v>6.9005153435266635</v>
      </c>
      <c r="M43" s="5">
        <f t="shared" si="9"/>
        <v>6.982819790198965</v>
      </c>
      <c r="N43" s="5">
        <f t="shared" si="10"/>
        <v>4.0957254229478934E-2</v>
      </c>
      <c r="O43" s="5">
        <f t="shared" si="11"/>
        <v>4.1347192442822589E-2</v>
      </c>
    </row>
    <row r="44" spans="1:15" ht="15.6" customHeight="1" x14ac:dyDescent="0.3">
      <c r="A44" s="3">
        <v>2</v>
      </c>
      <c r="B44" s="3">
        <v>200</v>
      </c>
      <c r="C44" s="3">
        <v>1000</v>
      </c>
      <c r="D44" s="4">
        <v>0.19</v>
      </c>
      <c r="E44" s="3">
        <v>10</v>
      </c>
      <c r="F44" s="4">
        <v>0</v>
      </c>
      <c r="G44" s="4">
        <v>139.84</v>
      </c>
      <c r="H44" s="4">
        <v>21.02</v>
      </c>
      <c r="I44" s="4"/>
      <c r="J44" s="4">
        <f t="shared" si="6"/>
        <v>0.66471076416739339</v>
      </c>
      <c r="K44" s="5">
        <f t="shared" si="7"/>
        <v>6.3251983509331575</v>
      </c>
      <c r="L44" s="5">
        <f t="shared" si="8"/>
        <v>6.2849241979666175</v>
      </c>
      <c r="M44" s="5">
        <f t="shared" si="9"/>
        <v>6.3658494835399573</v>
      </c>
      <c r="N44" s="5">
        <f t="shared" si="10"/>
        <v>4.0274152966540022E-2</v>
      </c>
      <c r="O44" s="5">
        <f t="shared" si="11"/>
        <v>4.0651132606799756E-2</v>
      </c>
    </row>
    <row r="45" spans="1:15" ht="15.6" customHeight="1" x14ac:dyDescent="0.3">
      <c r="A45" s="3">
        <v>2</v>
      </c>
      <c r="B45" s="3">
        <v>200</v>
      </c>
      <c r="C45" s="3">
        <v>1000</v>
      </c>
      <c r="D45" s="4">
        <v>0.2</v>
      </c>
      <c r="E45" s="3">
        <v>10</v>
      </c>
      <c r="F45" s="4">
        <v>0</v>
      </c>
      <c r="G45" s="4">
        <v>157.46</v>
      </c>
      <c r="H45" s="4">
        <v>19.690000000000001</v>
      </c>
      <c r="I45" s="4"/>
      <c r="J45" s="4">
        <f t="shared" si="6"/>
        <v>0.62265247128715395</v>
      </c>
      <c r="K45" s="5">
        <f t="shared" si="7"/>
        <v>5.8098100327764275</v>
      </c>
      <c r="L45" s="5">
        <f t="shared" si="8"/>
        <v>5.776279669794997</v>
      </c>
      <c r="M45" s="5">
        <f t="shared" si="9"/>
        <v>5.8436012875623335</v>
      </c>
      <c r="N45" s="5">
        <f t="shared" si="10"/>
        <v>3.3530362981430528E-2</v>
      </c>
      <c r="O45" s="5">
        <f t="shared" si="11"/>
        <v>3.3791254785906055E-2</v>
      </c>
    </row>
    <row r="46" spans="1:15" ht="15.6" customHeight="1" x14ac:dyDescent="0.3">
      <c r="A46" s="13" t="s">
        <v>16</v>
      </c>
      <c r="B46" s="7"/>
      <c r="C46" s="7"/>
      <c r="D46" s="8"/>
      <c r="E46" s="7"/>
      <c r="F46" s="8"/>
      <c r="G46" s="8"/>
      <c r="H46" s="8"/>
      <c r="I46" s="8"/>
      <c r="J46" s="9"/>
      <c r="K46" s="10"/>
      <c r="L46" s="10"/>
      <c r="M46" s="10"/>
      <c r="N46" s="10"/>
      <c r="O46" s="10"/>
    </row>
    <row r="47" spans="1:15" ht="15.6" customHeight="1" x14ac:dyDescent="0.3">
      <c r="A47" s="1">
        <v>3</v>
      </c>
      <c r="B47" s="1">
        <v>200</v>
      </c>
      <c r="C47" s="1">
        <v>1000</v>
      </c>
      <c r="D47" s="2">
        <v>0</v>
      </c>
      <c r="E47" s="1">
        <v>10</v>
      </c>
      <c r="F47" s="2">
        <v>0</v>
      </c>
      <c r="G47" s="2">
        <v>73.16</v>
      </c>
      <c r="H47" s="2">
        <v>19.809999999999999</v>
      </c>
      <c r="J47" s="4">
        <f t="shared" ref="J47:J67" si="12">H47/SQRT(C47)</f>
        <v>0.62644720447935587</v>
      </c>
      <c r="K47" s="5">
        <f t="shared" ref="K47:K67" si="13">-10*LOG10(G47/(B47*3))</f>
        <v>9.138775535792643</v>
      </c>
      <c r="L47" s="5">
        <f t="shared" ref="L47:L67" si="14">-10*LOG10((G47+1.96*J47)/(B47*3))</f>
        <v>9.0664932241528593</v>
      </c>
      <c r="M47" s="5">
        <f t="shared" ref="M47:M67" si="15">-10*LOG10((G47-1.96*J47)/(B47*3))</f>
        <v>9.2122812775897032</v>
      </c>
      <c r="N47" s="5">
        <f t="shared" ref="N47:N67" si="16">K47-L47</f>
        <v>7.2282311639783714E-2</v>
      </c>
      <c r="O47" s="5">
        <f t="shared" ref="O47:O67" si="17">M47-K47</f>
        <v>7.3505741797060153E-2</v>
      </c>
    </row>
    <row r="48" spans="1:15" ht="15.6" customHeight="1" x14ac:dyDescent="0.3">
      <c r="A48" s="1">
        <v>3</v>
      </c>
      <c r="B48" s="1">
        <v>200</v>
      </c>
      <c r="C48" s="1">
        <v>1000</v>
      </c>
      <c r="D48" s="2">
        <v>0.01</v>
      </c>
      <c r="E48" s="1">
        <v>10</v>
      </c>
      <c r="F48" s="2">
        <v>0</v>
      </c>
      <c r="G48" s="2">
        <v>72.45</v>
      </c>
      <c r="H48" s="2">
        <v>20.51</v>
      </c>
      <c r="J48" s="4">
        <f t="shared" si="12"/>
        <v>0.64858314810053463</v>
      </c>
      <c r="K48" s="5">
        <f t="shared" si="13"/>
        <v>9.1811286057645027</v>
      </c>
      <c r="L48" s="5">
        <f t="shared" si="14"/>
        <v>9.1055871921320328</v>
      </c>
      <c r="M48" s="5">
        <f t="shared" si="15"/>
        <v>9.2580072855630071</v>
      </c>
      <c r="N48" s="5">
        <f t="shared" si="16"/>
        <v>7.5541413632469911E-2</v>
      </c>
      <c r="O48" s="5">
        <f t="shared" si="17"/>
        <v>7.6878679798504379E-2</v>
      </c>
    </row>
    <row r="49" spans="1:15" ht="15.6" customHeight="1" x14ac:dyDescent="0.3">
      <c r="A49" s="1">
        <v>3</v>
      </c>
      <c r="B49" s="1">
        <v>200</v>
      </c>
      <c r="C49" s="1">
        <v>1000</v>
      </c>
      <c r="D49" s="2">
        <v>0.02</v>
      </c>
      <c r="E49" s="1">
        <v>10</v>
      </c>
      <c r="F49" s="2">
        <v>0</v>
      </c>
      <c r="G49" s="2">
        <v>69.34</v>
      </c>
      <c r="H49" s="2">
        <v>19.72</v>
      </c>
      <c r="J49" s="4">
        <f t="shared" si="12"/>
        <v>0.62360115458520438</v>
      </c>
      <c r="K49" s="5">
        <f t="shared" si="13"/>
        <v>9.3716741306326572</v>
      </c>
      <c r="L49" s="5">
        <f t="shared" si="14"/>
        <v>9.2957877894780729</v>
      </c>
      <c r="M49" s="5">
        <f t="shared" si="15"/>
        <v>9.448910087356353</v>
      </c>
      <c r="N49" s="5">
        <f t="shared" si="16"/>
        <v>7.5886341154584258E-2</v>
      </c>
      <c r="O49" s="5">
        <f t="shared" si="17"/>
        <v>7.7235956723695764E-2</v>
      </c>
    </row>
    <row r="50" spans="1:15" ht="15.6" customHeight="1" x14ac:dyDescent="0.3">
      <c r="A50" s="1">
        <v>3</v>
      </c>
      <c r="B50" s="1">
        <v>200</v>
      </c>
      <c r="C50" s="1">
        <v>1000</v>
      </c>
      <c r="D50" s="2">
        <v>0.03</v>
      </c>
      <c r="E50" s="1">
        <v>10</v>
      </c>
      <c r="F50" s="2">
        <v>0</v>
      </c>
      <c r="G50" s="2">
        <v>67.430000000000007</v>
      </c>
      <c r="H50" s="2">
        <v>18.38</v>
      </c>
      <c r="J50" s="4">
        <f t="shared" si="12"/>
        <v>0.58122663393894813</v>
      </c>
      <c r="K50" s="5">
        <f t="shared" si="13"/>
        <v>9.4929809070700344</v>
      </c>
      <c r="L50" s="5">
        <f t="shared" si="14"/>
        <v>9.4202214120497807</v>
      </c>
      <c r="M50" s="5">
        <f t="shared" si="15"/>
        <v>9.5669801778367773</v>
      </c>
      <c r="N50" s="5">
        <f t="shared" si="16"/>
        <v>7.2759495020253695E-2</v>
      </c>
      <c r="O50" s="5">
        <f t="shared" si="17"/>
        <v>7.3999270766742953E-2</v>
      </c>
    </row>
    <row r="51" spans="1:15" ht="15.6" customHeight="1" x14ac:dyDescent="0.3">
      <c r="A51" s="1">
        <v>3</v>
      </c>
      <c r="B51" s="1">
        <v>200</v>
      </c>
      <c r="C51" s="1">
        <v>1000</v>
      </c>
      <c r="D51" s="2">
        <v>0.04</v>
      </c>
      <c r="E51" s="1">
        <v>10</v>
      </c>
      <c r="F51" s="2">
        <v>0</v>
      </c>
      <c r="G51" s="2">
        <v>63.52</v>
      </c>
      <c r="H51" s="2">
        <v>17.2</v>
      </c>
      <c r="J51" s="4">
        <f t="shared" si="12"/>
        <v>0.54391175754896126</v>
      </c>
      <c r="K51" s="5">
        <f t="shared" si="13"/>
        <v>9.7524076096460384</v>
      </c>
      <c r="L51" s="5">
        <f t="shared" si="14"/>
        <v>9.68012411308022</v>
      </c>
      <c r="M51" s="5">
        <f t="shared" si="15"/>
        <v>9.8259145768213454</v>
      </c>
      <c r="N51" s="5">
        <f t="shared" si="16"/>
        <v>7.2283496565818339E-2</v>
      </c>
      <c r="O51" s="5">
        <f t="shared" si="17"/>
        <v>7.3506967175307025E-2</v>
      </c>
    </row>
    <row r="52" spans="1:15" ht="15.6" customHeight="1" x14ac:dyDescent="0.3">
      <c r="A52" s="1">
        <v>3</v>
      </c>
      <c r="B52" s="1">
        <v>200</v>
      </c>
      <c r="C52" s="1">
        <v>1000</v>
      </c>
      <c r="D52" s="2">
        <v>0.05</v>
      </c>
      <c r="E52" s="1">
        <v>10</v>
      </c>
      <c r="F52" s="2">
        <v>0</v>
      </c>
      <c r="G52" s="2">
        <v>59.77</v>
      </c>
      <c r="H52" s="2">
        <v>15.74</v>
      </c>
      <c r="J52" s="4">
        <f t="shared" si="12"/>
        <v>0.49774250371050294</v>
      </c>
      <c r="K52" s="5">
        <f t="shared" si="13"/>
        <v>10.01667994549962</v>
      </c>
      <c r="L52" s="5">
        <f t="shared" si="14"/>
        <v>9.9463660086422525</v>
      </c>
      <c r="M52" s="5">
        <f t="shared" si="15"/>
        <v>10.088151052596046</v>
      </c>
      <c r="N52" s="5">
        <f t="shared" si="16"/>
        <v>7.031393685736731E-2</v>
      </c>
      <c r="O52" s="5">
        <f t="shared" si="17"/>
        <v>7.1471107096426678E-2</v>
      </c>
    </row>
    <row r="53" spans="1:15" ht="15.6" customHeight="1" x14ac:dyDescent="0.3">
      <c r="A53" s="1">
        <v>3</v>
      </c>
      <c r="B53" s="1">
        <v>200</v>
      </c>
      <c r="C53" s="1">
        <v>1000</v>
      </c>
      <c r="D53" s="2">
        <v>0.06</v>
      </c>
      <c r="E53" s="1">
        <v>10</v>
      </c>
      <c r="F53" s="2">
        <v>0</v>
      </c>
      <c r="G53" s="2">
        <v>58.44</v>
      </c>
      <c r="H53" s="2">
        <v>14.97</v>
      </c>
      <c r="J53" s="4">
        <f t="shared" si="12"/>
        <v>0.47339296572720641</v>
      </c>
      <c r="K53" s="5">
        <f t="shared" si="13"/>
        <v>10.114410431213845</v>
      </c>
      <c r="L53" s="5">
        <f t="shared" si="14"/>
        <v>10.045999275416545</v>
      </c>
      <c r="M53" s="5">
        <f t="shared" si="15"/>
        <v>10.183916486830251</v>
      </c>
      <c r="N53" s="5">
        <f t="shared" si="16"/>
        <v>6.8411155797299728E-2</v>
      </c>
      <c r="O53" s="5">
        <f t="shared" si="17"/>
        <v>6.9506055616406215E-2</v>
      </c>
    </row>
    <row r="54" spans="1:15" ht="15.6" customHeight="1" x14ac:dyDescent="0.3">
      <c r="A54" s="1">
        <v>3</v>
      </c>
      <c r="B54" s="1">
        <v>200</v>
      </c>
      <c r="C54" s="1">
        <v>1000</v>
      </c>
      <c r="D54" s="2">
        <v>7.0000000000000007E-2</v>
      </c>
      <c r="E54" s="1">
        <v>10</v>
      </c>
      <c r="F54" s="2">
        <v>0</v>
      </c>
      <c r="G54" s="2">
        <v>59.36</v>
      </c>
      <c r="H54" s="2">
        <v>15.79</v>
      </c>
      <c r="J54" s="4">
        <f t="shared" si="12"/>
        <v>0.49932364254058709</v>
      </c>
      <c r="K54" s="5">
        <f t="shared" si="13"/>
        <v>10.046573581126729</v>
      </c>
      <c r="L54" s="5">
        <f t="shared" si="14"/>
        <v>9.9755548603318491</v>
      </c>
      <c r="M54" s="5">
        <f t="shared" si="15"/>
        <v>10.118772981256907</v>
      </c>
      <c r="N54" s="5">
        <f t="shared" si="16"/>
        <v>7.1018720794880252E-2</v>
      </c>
      <c r="O54" s="5">
        <f t="shared" si="17"/>
        <v>7.2199400130177338E-2</v>
      </c>
    </row>
    <row r="55" spans="1:15" ht="15.6" customHeight="1" x14ac:dyDescent="0.3">
      <c r="A55" s="1">
        <v>3</v>
      </c>
      <c r="B55" s="1">
        <v>200</v>
      </c>
      <c r="C55" s="1">
        <v>1000</v>
      </c>
      <c r="D55" s="2">
        <v>0.08</v>
      </c>
      <c r="E55" s="1">
        <v>10</v>
      </c>
      <c r="F55" s="2">
        <v>0</v>
      </c>
      <c r="G55" s="2">
        <v>61.03</v>
      </c>
      <c r="H55" s="2">
        <v>15.38</v>
      </c>
      <c r="J55" s="4">
        <f t="shared" si="12"/>
        <v>0.4863583041338968</v>
      </c>
      <c r="K55" s="5">
        <f t="shared" si="13"/>
        <v>9.9260788042705066</v>
      </c>
      <c r="L55" s="5">
        <f t="shared" si="14"/>
        <v>9.8587682028055408</v>
      </c>
      <c r="M55" s="5">
        <f t="shared" si="15"/>
        <v>9.994449087273475</v>
      </c>
      <c r="N55" s="5">
        <f t="shared" si="16"/>
        <v>6.7310601464965814E-2</v>
      </c>
      <c r="O55" s="5">
        <f t="shared" si="17"/>
        <v>6.8370283002968435E-2</v>
      </c>
    </row>
    <row r="56" spans="1:15" ht="15.6" customHeight="1" x14ac:dyDescent="0.3">
      <c r="A56" s="1">
        <v>3</v>
      </c>
      <c r="B56" s="1">
        <v>200</v>
      </c>
      <c r="C56" s="1">
        <v>1000</v>
      </c>
      <c r="D56" s="2">
        <v>0.09</v>
      </c>
      <c r="E56" s="1">
        <v>10</v>
      </c>
      <c r="F56" s="2">
        <v>0</v>
      </c>
      <c r="G56" s="2">
        <v>64.599999999999994</v>
      </c>
      <c r="H56" s="2">
        <v>14.91</v>
      </c>
      <c r="J56" s="4">
        <f t="shared" si="12"/>
        <v>0.47149559913110539</v>
      </c>
      <c r="K56" s="5">
        <f t="shared" si="13"/>
        <v>9.6791873238855946</v>
      </c>
      <c r="L56" s="5">
        <f t="shared" si="14"/>
        <v>9.6174997798515225</v>
      </c>
      <c r="M56" s="5">
        <f t="shared" si="15"/>
        <v>9.7417637233846417</v>
      </c>
      <c r="N56" s="5">
        <f t="shared" si="16"/>
        <v>6.1687544034072062E-2</v>
      </c>
      <c r="O56" s="5">
        <f t="shared" si="17"/>
        <v>6.2576399499047142E-2</v>
      </c>
    </row>
    <row r="57" spans="1:15" ht="15.6" customHeight="1" x14ac:dyDescent="0.3">
      <c r="A57" s="1">
        <v>3</v>
      </c>
      <c r="B57" s="1">
        <v>200</v>
      </c>
      <c r="C57" s="1">
        <v>1000</v>
      </c>
      <c r="D57" s="2">
        <v>0.1</v>
      </c>
      <c r="E57" s="1">
        <v>10</v>
      </c>
      <c r="F57" s="2">
        <v>0</v>
      </c>
      <c r="G57" s="2">
        <v>66.31</v>
      </c>
      <c r="H57" s="2">
        <v>14.95</v>
      </c>
      <c r="J57" s="4">
        <f t="shared" si="12"/>
        <v>0.47276051019517268</v>
      </c>
      <c r="K57" s="5">
        <f t="shared" si="13"/>
        <v>9.5657222247163478</v>
      </c>
      <c r="L57" s="5">
        <f t="shared" si="14"/>
        <v>9.5054543786525318</v>
      </c>
      <c r="M57" s="5">
        <f t="shared" si="15"/>
        <v>9.6268382022723245</v>
      </c>
      <c r="N57" s="5">
        <f t="shared" si="16"/>
        <v>6.0267846063815966E-2</v>
      </c>
      <c r="O57" s="5">
        <f t="shared" si="17"/>
        <v>6.1115977555976642E-2</v>
      </c>
    </row>
    <row r="58" spans="1:15" ht="15.6" customHeight="1" x14ac:dyDescent="0.3">
      <c r="A58" s="1">
        <v>3</v>
      </c>
      <c r="B58" s="1">
        <v>200</v>
      </c>
      <c r="C58" s="1">
        <v>1000</v>
      </c>
      <c r="D58" s="2">
        <v>0.11</v>
      </c>
      <c r="E58" s="1">
        <v>10</v>
      </c>
      <c r="F58" s="2">
        <v>0</v>
      </c>
      <c r="G58" s="2">
        <v>68.94</v>
      </c>
      <c r="H58" s="2">
        <v>14.86</v>
      </c>
      <c r="J58" s="4">
        <f t="shared" si="12"/>
        <v>0.46991446030102119</v>
      </c>
      <c r="K58" s="5">
        <f t="shared" si="13"/>
        <v>9.3967997131171472</v>
      </c>
      <c r="L58" s="5">
        <f t="shared" si="14"/>
        <v>9.3391625142951131</v>
      </c>
      <c r="M58" s="5">
        <f t="shared" si="15"/>
        <v>9.4552121414123071</v>
      </c>
      <c r="N58" s="5">
        <f t="shared" si="16"/>
        <v>5.7637198822034108E-2</v>
      </c>
      <c r="O58" s="5">
        <f t="shared" si="17"/>
        <v>5.8412428295159913E-2</v>
      </c>
    </row>
    <row r="59" spans="1:15" ht="15.6" customHeight="1" x14ac:dyDescent="0.3">
      <c r="A59" s="1">
        <v>3</v>
      </c>
      <c r="B59" s="1">
        <v>200</v>
      </c>
      <c r="C59" s="1">
        <v>1000</v>
      </c>
      <c r="D59" s="2">
        <v>0.12</v>
      </c>
      <c r="E59" s="1">
        <v>10</v>
      </c>
      <c r="F59" s="2">
        <v>0</v>
      </c>
      <c r="G59" s="2">
        <v>71.849999999999994</v>
      </c>
      <c r="H59" s="2">
        <v>14.47</v>
      </c>
      <c r="J59" s="4">
        <f t="shared" si="12"/>
        <v>0.45758157742636452</v>
      </c>
      <c r="K59" s="5">
        <f t="shared" si="13"/>
        <v>9.217244779133992</v>
      </c>
      <c r="L59" s="5">
        <f t="shared" si="14"/>
        <v>9.1633699858295401</v>
      </c>
      <c r="M59" s="5">
        <f t="shared" si="15"/>
        <v>9.2717962999105392</v>
      </c>
      <c r="N59" s="5">
        <f t="shared" si="16"/>
        <v>5.3874793304451885E-2</v>
      </c>
      <c r="O59" s="5">
        <f t="shared" si="17"/>
        <v>5.4551520776547235E-2</v>
      </c>
    </row>
    <row r="60" spans="1:15" ht="15.6" customHeight="1" x14ac:dyDescent="0.3">
      <c r="A60" s="1">
        <v>3</v>
      </c>
      <c r="B60" s="1">
        <v>200</v>
      </c>
      <c r="C60" s="1">
        <v>1000</v>
      </c>
      <c r="D60" s="2">
        <v>0.13</v>
      </c>
      <c r="E60" s="1">
        <v>10</v>
      </c>
      <c r="F60" s="2">
        <v>0</v>
      </c>
      <c r="G60" s="2">
        <v>76.52</v>
      </c>
      <c r="H60" s="2">
        <v>15.98</v>
      </c>
      <c r="J60" s="4">
        <f t="shared" si="12"/>
        <v>0.50533197009490705</v>
      </c>
      <c r="K60" s="5">
        <f t="shared" si="13"/>
        <v>8.9437628902838533</v>
      </c>
      <c r="L60" s="5">
        <f t="shared" si="14"/>
        <v>8.887909884117013</v>
      </c>
      <c r="M60" s="5">
        <f t="shared" si="15"/>
        <v>9.0003435697916849</v>
      </c>
      <c r="N60" s="5">
        <f t="shared" si="16"/>
        <v>5.5853006166840302E-2</v>
      </c>
      <c r="O60" s="5">
        <f t="shared" si="17"/>
        <v>5.6580679507831633E-2</v>
      </c>
    </row>
    <row r="61" spans="1:15" ht="15.6" customHeight="1" x14ac:dyDescent="0.3">
      <c r="A61" s="1">
        <v>3</v>
      </c>
      <c r="B61" s="1">
        <v>200</v>
      </c>
      <c r="C61" s="1">
        <v>1000</v>
      </c>
      <c r="D61" s="2">
        <v>0.14000000000000001</v>
      </c>
      <c r="E61" s="1">
        <v>10</v>
      </c>
      <c r="F61" s="2">
        <v>0</v>
      </c>
      <c r="G61" s="2">
        <v>81.349999999999994</v>
      </c>
      <c r="H61" s="2">
        <v>16.13</v>
      </c>
      <c r="J61" s="4">
        <f t="shared" si="12"/>
        <v>0.51007538658515961</v>
      </c>
      <c r="K61" s="5">
        <f t="shared" si="13"/>
        <v>8.6779369311076611</v>
      </c>
      <c r="L61" s="5">
        <f t="shared" si="14"/>
        <v>8.624889771462831</v>
      </c>
      <c r="M61" s="5">
        <f t="shared" si="15"/>
        <v>8.7316400590824994</v>
      </c>
      <c r="N61" s="5">
        <f t="shared" si="16"/>
        <v>5.3047159644830089E-2</v>
      </c>
      <c r="O61" s="5">
        <f t="shared" si="17"/>
        <v>5.3703127974838338E-2</v>
      </c>
    </row>
    <row r="62" spans="1:15" ht="15.6" customHeight="1" x14ac:dyDescent="0.3">
      <c r="A62" s="1">
        <v>3</v>
      </c>
      <c r="B62" s="1">
        <v>200</v>
      </c>
      <c r="C62" s="1">
        <v>1000</v>
      </c>
      <c r="D62" s="2">
        <v>0.15</v>
      </c>
      <c r="E62" s="1">
        <v>10</v>
      </c>
      <c r="F62" s="2">
        <v>0</v>
      </c>
      <c r="G62" s="2">
        <v>90.56</v>
      </c>
      <c r="H62" s="2">
        <v>16.84</v>
      </c>
      <c r="J62" s="4">
        <f t="shared" si="12"/>
        <v>0.53252755797235507</v>
      </c>
      <c r="K62" s="5">
        <f t="shared" si="13"/>
        <v>8.2121483653944729</v>
      </c>
      <c r="L62" s="5">
        <f t="shared" si="14"/>
        <v>8.1623797852806845</v>
      </c>
      <c r="M62" s="5">
        <f t="shared" si="15"/>
        <v>8.2624938934757548</v>
      </c>
      <c r="N62" s="5">
        <f t="shared" si="16"/>
        <v>4.9768580113788374E-2</v>
      </c>
      <c r="O62" s="5">
        <f t="shared" si="17"/>
        <v>5.0345528081281898E-2</v>
      </c>
    </row>
    <row r="63" spans="1:15" ht="15.6" customHeight="1" x14ac:dyDescent="0.3">
      <c r="A63" s="1">
        <v>3</v>
      </c>
      <c r="B63" s="1">
        <v>200</v>
      </c>
      <c r="C63" s="1">
        <v>1000</v>
      </c>
      <c r="D63" s="2">
        <v>0.16</v>
      </c>
      <c r="E63" s="1">
        <v>10</v>
      </c>
      <c r="F63" s="2">
        <v>0</v>
      </c>
      <c r="G63" s="2">
        <v>102.3</v>
      </c>
      <c r="H63" s="2">
        <v>18.28</v>
      </c>
      <c r="J63" s="4">
        <f t="shared" si="12"/>
        <v>0.57806435627877983</v>
      </c>
      <c r="K63" s="5">
        <f t="shared" si="13"/>
        <v>7.6827561667148352</v>
      </c>
      <c r="L63" s="5">
        <f t="shared" si="14"/>
        <v>7.6349210334336961</v>
      </c>
      <c r="M63" s="5">
        <f t="shared" si="15"/>
        <v>7.7311240509138814</v>
      </c>
      <c r="N63" s="5">
        <f t="shared" si="16"/>
        <v>4.7835133281139086E-2</v>
      </c>
      <c r="O63" s="5">
        <f t="shared" si="17"/>
        <v>4.8367884199046252E-2</v>
      </c>
    </row>
    <row r="64" spans="1:15" ht="15.6" customHeight="1" x14ac:dyDescent="0.3">
      <c r="A64" s="1">
        <v>3</v>
      </c>
      <c r="B64" s="1">
        <v>200</v>
      </c>
      <c r="C64" s="1">
        <v>1000</v>
      </c>
      <c r="D64" s="2">
        <v>0.17</v>
      </c>
      <c r="E64" s="1">
        <v>10</v>
      </c>
      <c r="F64" s="2">
        <v>0</v>
      </c>
      <c r="G64" s="2">
        <v>117.58</v>
      </c>
      <c r="H64" s="2">
        <v>20.89</v>
      </c>
      <c r="J64" s="4">
        <f t="shared" si="12"/>
        <v>0.66059980320917444</v>
      </c>
      <c r="K64" s="5">
        <f t="shared" si="13"/>
        <v>7.0781779453058071</v>
      </c>
      <c r="L64" s="5">
        <f t="shared" si="14"/>
        <v>7.0306154020320086</v>
      </c>
      <c r="M64" s="5">
        <f t="shared" si="15"/>
        <v>7.1262671515147193</v>
      </c>
      <c r="N64" s="5">
        <f t="shared" si="16"/>
        <v>4.7562543273798497E-2</v>
      </c>
      <c r="O64" s="5">
        <f t="shared" si="17"/>
        <v>4.8089206208912216E-2</v>
      </c>
    </row>
    <row r="65" spans="1:15" ht="15.6" customHeight="1" x14ac:dyDescent="0.3">
      <c r="A65" s="1">
        <v>3</v>
      </c>
      <c r="B65" s="1">
        <v>200</v>
      </c>
      <c r="C65" s="1">
        <v>1000</v>
      </c>
      <c r="D65" s="2">
        <v>0.18</v>
      </c>
      <c r="E65" s="1">
        <v>10</v>
      </c>
      <c r="F65" s="2">
        <v>0</v>
      </c>
      <c r="G65" s="2">
        <v>133.72</v>
      </c>
      <c r="H65" s="2">
        <v>20.61</v>
      </c>
      <c r="J65" s="4">
        <f t="shared" si="12"/>
        <v>0.65174542576070293</v>
      </c>
      <c r="K65" s="5">
        <f t="shared" si="13"/>
        <v>6.5195488246311273</v>
      </c>
      <c r="L65" s="5">
        <f t="shared" si="14"/>
        <v>6.4782577849002978</v>
      </c>
      <c r="M65" s="5">
        <f t="shared" si="15"/>
        <v>6.5612362149611725</v>
      </c>
      <c r="N65" s="5">
        <f t="shared" si="16"/>
        <v>4.1291039730829482E-2</v>
      </c>
      <c r="O65" s="5">
        <f t="shared" si="17"/>
        <v>4.1687390330045204E-2</v>
      </c>
    </row>
    <row r="66" spans="1:15" ht="15.6" customHeight="1" x14ac:dyDescent="0.3">
      <c r="A66" s="1">
        <v>3</v>
      </c>
      <c r="B66" s="1">
        <v>200</v>
      </c>
      <c r="C66" s="1">
        <v>1000</v>
      </c>
      <c r="D66" s="2">
        <v>0.19</v>
      </c>
      <c r="E66" s="1">
        <v>10</v>
      </c>
      <c r="F66" s="2">
        <v>0</v>
      </c>
      <c r="G66" s="2">
        <v>152.81</v>
      </c>
      <c r="H66" s="2">
        <v>21.69</v>
      </c>
      <c r="J66" s="4">
        <f t="shared" si="12"/>
        <v>0.68589802449052151</v>
      </c>
      <c r="K66" s="5">
        <f t="shared" si="13"/>
        <v>5.9399947466024763</v>
      </c>
      <c r="L66" s="5">
        <f t="shared" si="14"/>
        <v>5.9019543748879748</v>
      </c>
      <c r="M66" s="5">
        <f t="shared" si="15"/>
        <v>5.9783712649873628</v>
      </c>
      <c r="N66" s="5">
        <f t="shared" si="16"/>
        <v>3.8040371714501475E-2</v>
      </c>
      <c r="O66" s="5">
        <f t="shared" si="17"/>
        <v>3.8376518384886538E-2</v>
      </c>
    </row>
    <row r="67" spans="1:15" ht="15.6" customHeight="1" x14ac:dyDescent="0.3">
      <c r="A67" s="1">
        <v>3</v>
      </c>
      <c r="B67" s="1">
        <v>200</v>
      </c>
      <c r="C67" s="1">
        <v>1000</v>
      </c>
      <c r="D67" s="2">
        <v>0.2</v>
      </c>
      <c r="E67" s="1">
        <v>10</v>
      </c>
      <c r="F67" s="2">
        <v>0</v>
      </c>
      <c r="G67" s="2">
        <v>168.61</v>
      </c>
      <c r="H67" s="2">
        <v>21.88</v>
      </c>
      <c r="J67" s="4">
        <f t="shared" si="12"/>
        <v>0.69190635204484141</v>
      </c>
      <c r="K67" s="5">
        <f t="shared" si="13"/>
        <v>5.5126792199272678</v>
      </c>
      <c r="L67" s="5">
        <f t="shared" si="14"/>
        <v>5.4778884793399847</v>
      </c>
      <c r="M67" s="5">
        <f t="shared" si="15"/>
        <v>5.5477509166239516</v>
      </c>
      <c r="N67" s="5">
        <f t="shared" si="16"/>
        <v>3.4790740587283153E-2</v>
      </c>
      <c r="O67" s="5">
        <f t="shared" si="17"/>
        <v>3.5071696696683752E-2</v>
      </c>
    </row>
    <row r="68" spans="1:15" ht="15.6" customHeight="1" x14ac:dyDescent="0.3">
      <c r="A68" s="13" t="s">
        <v>17</v>
      </c>
      <c r="B68" s="7"/>
      <c r="C68" s="7"/>
      <c r="D68" s="8"/>
      <c r="E68" s="7"/>
      <c r="F68" s="8"/>
      <c r="G68" s="8"/>
      <c r="H68" s="8"/>
      <c r="I68" s="8"/>
      <c r="J68" s="9"/>
      <c r="K68" s="10"/>
      <c r="L68" s="10"/>
      <c r="M68" s="10"/>
      <c r="N68" s="10"/>
      <c r="O68" s="10"/>
    </row>
    <row r="69" spans="1:15" ht="15.6" customHeight="1" x14ac:dyDescent="0.3">
      <c r="A69" s="1">
        <v>4</v>
      </c>
      <c r="B69" s="1">
        <v>200</v>
      </c>
      <c r="C69" s="1">
        <v>1000</v>
      </c>
      <c r="D69" s="2">
        <v>0</v>
      </c>
      <c r="E69" s="1">
        <v>10</v>
      </c>
      <c r="F69" s="2">
        <v>0</v>
      </c>
      <c r="G69" s="2">
        <v>48.27</v>
      </c>
      <c r="H69" s="2">
        <v>36.880000000000003</v>
      </c>
      <c r="J69" s="4">
        <f t="shared" ref="J69:J89" si="18">H69/SQRT(C69)</f>
        <v>1.1662480010700984</v>
      </c>
      <c r="K69" s="5">
        <f t="shared" ref="K69:K89" si="19">-10*LOG10(G69/(B69*3))</f>
        <v>10.944739515649516</v>
      </c>
      <c r="L69" s="5">
        <f t="shared" ref="L69:L89" si="20">-10*LOG10((G69+1.96*J69)/(B69*3))</f>
        <v>10.743798674221136</v>
      </c>
      <c r="M69" s="5">
        <f t="shared" ref="M69:M89" si="21">-10*LOG10((G69-1.96*J69)/(B69*3))</f>
        <v>11.155430502590203</v>
      </c>
      <c r="N69" s="5">
        <f t="shared" ref="N69:N89" si="22">K69-L69</f>
        <v>0.20094084142838042</v>
      </c>
      <c r="O69" s="5">
        <f t="shared" ref="O69:O89" si="23">M69-K69</f>
        <v>0.210690986940687</v>
      </c>
    </row>
    <row r="70" spans="1:15" ht="15.6" customHeight="1" x14ac:dyDescent="0.3">
      <c r="A70" s="3">
        <v>4</v>
      </c>
      <c r="B70" s="3">
        <v>200</v>
      </c>
      <c r="C70" s="3">
        <v>1000</v>
      </c>
      <c r="D70" s="4">
        <v>0.01</v>
      </c>
      <c r="E70" s="3">
        <v>10</v>
      </c>
      <c r="F70" s="4">
        <v>0</v>
      </c>
      <c r="G70" s="4">
        <v>45.64</v>
      </c>
      <c r="H70" s="4">
        <v>29.37</v>
      </c>
      <c r="I70" s="4"/>
      <c r="J70" s="4">
        <f t="shared" si="18"/>
        <v>0.9287609487914531</v>
      </c>
      <c r="K70" s="5">
        <f t="shared" si="19"/>
        <v>11.188056146374665</v>
      </c>
      <c r="L70" s="5">
        <f t="shared" si="20"/>
        <v>11.018201173822902</v>
      </c>
      <c r="M70" s="5">
        <f t="shared" si="21"/>
        <v>11.364825586640201</v>
      </c>
      <c r="N70" s="5">
        <f t="shared" si="22"/>
        <v>0.16985497255176263</v>
      </c>
      <c r="O70" s="5">
        <f t="shared" si="23"/>
        <v>0.1767694402655362</v>
      </c>
    </row>
    <row r="71" spans="1:15" ht="15.6" customHeight="1" x14ac:dyDescent="0.3">
      <c r="A71" s="3">
        <v>4</v>
      </c>
      <c r="B71" s="3">
        <v>200</v>
      </c>
      <c r="C71" s="3">
        <v>1000</v>
      </c>
      <c r="D71" s="4">
        <v>0.02</v>
      </c>
      <c r="E71" s="3">
        <v>10</v>
      </c>
      <c r="F71" s="4">
        <v>0</v>
      </c>
      <c r="G71" s="4">
        <v>46.88</v>
      </c>
      <c r="H71" s="4">
        <v>36.049999999999997</v>
      </c>
      <c r="I71" s="4"/>
      <c r="J71" s="4">
        <f t="shared" si="18"/>
        <v>1.1400010964907006</v>
      </c>
      <c r="K71" s="5">
        <f t="shared" si="19"/>
        <v>11.071636473736095</v>
      </c>
      <c r="L71" s="5">
        <f t="shared" si="20"/>
        <v>10.869423884697056</v>
      </c>
      <c r="M71" s="5">
        <f t="shared" si="21"/>
        <v>11.283726073903029</v>
      </c>
      <c r="N71" s="5">
        <f t="shared" si="22"/>
        <v>0.20221258903903916</v>
      </c>
      <c r="O71" s="5">
        <f t="shared" si="23"/>
        <v>0.21208960016693368</v>
      </c>
    </row>
    <row r="72" spans="1:15" ht="15.6" customHeight="1" x14ac:dyDescent="0.3">
      <c r="A72" s="3">
        <v>4</v>
      </c>
      <c r="B72" s="3">
        <v>200</v>
      </c>
      <c r="C72" s="3">
        <v>1000</v>
      </c>
      <c r="D72" s="4">
        <v>0.03</v>
      </c>
      <c r="E72" s="3">
        <v>10</v>
      </c>
      <c r="F72" s="4">
        <v>0</v>
      </c>
      <c r="G72" s="4">
        <v>45.09</v>
      </c>
      <c r="H72" s="4">
        <v>35.68</v>
      </c>
      <c r="I72" s="4"/>
      <c r="J72" s="4">
        <f t="shared" si="18"/>
        <v>1.1283006691480777</v>
      </c>
      <c r="K72" s="5">
        <f t="shared" si="19"/>
        <v>11.240710150770729</v>
      </c>
      <c r="L72" s="5">
        <f t="shared" si="20"/>
        <v>11.032766190754534</v>
      </c>
      <c r="M72" s="5">
        <f t="shared" si="21"/>
        <v>11.459113553412511</v>
      </c>
      <c r="N72" s="5">
        <f t="shared" si="22"/>
        <v>0.20794396001619475</v>
      </c>
      <c r="O72" s="5">
        <f t="shared" si="23"/>
        <v>0.2184034026417816</v>
      </c>
    </row>
    <row r="73" spans="1:15" ht="15.6" customHeight="1" x14ac:dyDescent="0.3">
      <c r="A73" s="3">
        <v>4</v>
      </c>
      <c r="B73" s="3">
        <v>200</v>
      </c>
      <c r="C73" s="3">
        <v>1000</v>
      </c>
      <c r="D73" s="4">
        <v>0.04</v>
      </c>
      <c r="E73" s="3">
        <v>10</v>
      </c>
      <c r="F73" s="4">
        <v>0</v>
      </c>
      <c r="G73" s="4">
        <v>43.37</v>
      </c>
      <c r="H73" s="4">
        <v>32.299999999999997</v>
      </c>
      <c r="I73" s="4"/>
      <c r="J73" s="4">
        <f t="shared" si="18"/>
        <v>1.0214156842343864</v>
      </c>
      <c r="K73" s="5">
        <f t="shared" si="19"/>
        <v>11.409618282348816</v>
      </c>
      <c r="L73" s="5">
        <f t="shared" si="20"/>
        <v>11.213635687482386</v>
      </c>
      <c r="M73" s="5">
        <f t="shared" si="21"/>
        <v>11.61486460443702</v>
      </c>
      <c r="N73" s="5">
        <f t="shared" si="22"/>
        <v>0.19598259486643066</v>
      </c>
      <c r="O73" s="5">
        <f t="shared" si="23"/>
        <v>0.20524632208820393</v>
      </c>
    </row>
    <row r="74" spans="1:15" ht="15.6" customHeight="1" x14ac:dyDescent="0.3">
      <c r="A74" s="3">
        <v>4</v>
      </c>
      <c r="B74" s="3">
        <v>200</v>
      </c>
      <c r="C74" s="3">
        <v>1000</v>
      </c>
      <c r="D74" s="4">
        <v>0.05</v>
      </c>
      <c r="E74" s="3">
        <v>10</v>
      </c>
      <c r="F74" s="4">
        <v>0</v>
      </c>
      <c r="G74" s="4">
        <v>43.91</v>
      </c>
      <c r="H74" s="4">
        <v>37.869999999999997</v>
      </c>
      <c r="I74" s="4"/>
      <c r="J74" s="4">
        <f t="shared" si="18"/>
        <v>1.1975545499057652</v>
      </c>
      <c r="K74" s="5">
        <f t="shared" si="19"/>
        <v>11.355878132792558</v>
      </c>
      <c r="L74" s="5">
        <f t="shared" si="20"/>
        <v>11.129718445344647</v>
      </c>
      <c r="M74" s="5">
        <f t="shared" si="21"/>
        <v>11.59446525275669</v>
      </c>
      <c r="N74" s="5">
        <f t="shared" si="22"/>
        <v>0.22615968744791104</v>
      </c>
      <c r="O74" s="5">
        <f t="shared" si="23"/>
        <v>0.23858711996413184</v>
      </c>
    </row>
    <row r="75" spans="1:15" ht="15.6" customHeight="1" x14ac:dyDescent="0.3">
      <c r="A75" s="3">
        <v>4</v>
      </c>
      <c r="B75" s="3">
        <v>200</v>
      </c>
      <c r="C75" s="3">
        <v>1000</v>
      </c>
      <c r="D75" s="4">
        <v>0.06</v>
      </c>
      <c r="E75" s="3">
        <v>10</v>
      </c>
      <c r="F75" s="4">
        <v>0</v>
      </c>
      <c r="G75" s="4">
        <v>45.73</v>
      </c>
      <c r="H75" s="4">
        <v>37.08</v>
      </c>
      <c r="I75" s="4"/>
      <c r="J75" s="4">
        <f t="shared" si="18"/>
        <v>1.172572556390435</v>
      </c>
      <c r="K75" s="5">
        <f t="shared" si="19"/>
        <v>11.179500490029618</v>
      </c>
      <c r="L75" s="5">
        <f t="shared" si="20"/>
        <v>10.966545582322704</v>
      </c>
      <c r="M75" s="5">
        <f t="shared" si="21"/>
        <v>11.403438437057174</v>
      </c>
      <c r="N75" s="5">
        <f t="shared" si="22"/>
        <v>0.21295490770691394</v>
      </c>
      <c r="O75" s="5">
        <f t="shared" si="23"/>
        <v>0.22393794702755621</v>
      </c>
    </row>
    <row r="76" spans="1:15" ht="15.6" customHeight="1" x14ac:dyDescent="0.3">
      <c r="A76" s="3">
        <v>4</v>
      </c>
      <c r="B76" s="3">
        <v>200</v>
      </c>
      <c r="C76" s="3">
        <v>1000</v>
      </c>
      <c r="D76" s="4">
        <v>7.0000000000000007E-2</v>
      </c>
      <c r="E76" s="3">
        <v>10</v>
      </c>
      <c r="F76" s="4">
        <v>0</v>
      </c>
      <c r="G76" s="4">
        <v>43.6</v>
      </c>
      <c r="H76" s="4">
        <v>30.67</v>
      </c>
      <c r="I76" s="4"/>
      <c r="J76" s="4">
        <f t="shared" si="18"/>
        <v>0.969870558373642</v>
      </c>
      <c r="K76" s="5">
        <f t="shared" si="19"/>
        <v>11.386647611150575</v>
      </c>
      <c r="L76" s="5">
        <f t="shared" si="20"/>
        <v>11.201308215030592</v>
      </c>
      <c r="M76" s="5">
        <f t="shared" si="21"/>
        <v>11.580250509279836</v>
      </c>
      <c r="N76" s="5">
        <f t="shared" si="22"/>
        <v>0.18533939611998385</v>
      </c>
      <c r="O76" s="5">
        <f t="shared" si="23"/>
        <v>0.19360289812926013</v>
      </c>
    </row>
    <row r="77" spans="1:15" ht="15.6" customHeight="1" x14ac:dyDescent="0.3">
      <c r="A77" s="3">
        <v>4</v>
      </c>
      <c r="B77" s="3">
        <v>200</v>
      </c>
      <c r="C77" s="3">
        <v>1000</v>
      </c>
      <c r="D77" s="4">
        <v>0.08</v>
      </c>
      <c r="E77" s="3">
        <v>10</v>
      </c>
      <c r="F77" s="4">
        <v>0</v>
      </c>
      <c r="G77" s="4">
        <v>45.83</v>
      </c>
      <c r="H77" s="4">
        <v>28.21</v>
      </c>
      <c r="I77" s="4"/>
      <c r="J77" s="4">
        <f t="shared" si="18"/>
        <v>0.89207852793349984</v>
      </c>
      <c r="K77" s="5">
        <f t="shared" si="19"/>
        <v>11.170013931388569</v>
      </c>
      <c r="L77" s="5">
        <f t="shared" si="20"/>
        <v>11.00740742506529</v>
      </c>
      <c r="M77" s="5">
        <f t="shared" si="21"/>
        <v>11.338946291739765</v>
      </c>
      <c r="N77" s="5">
        <f t="shared" si="22"/>
        <v>0.16260650632327867</v>
      </c>
      <c r="O77" s="5">
        <f t="shared" si="23"/>
        <v>0.16893236035119585</v>
      </c>
    </row>
    <row r="78" spans="1:15" ht="15.6" customHeight="1" x14ac:dyDescent="0.3">
      <c r="A78" s="3">
        <v>4</v>
      </c>
      <c r="B78" s="3">
        <v>200</v>
      </c>
      <c r="C78" s="3">
        <v>1000</v>
      </c>
      <c r="D78" s="4">
        <v>0.09</v>
      </c>
      <c r="E78" s="3">
        <v>10</v>
      </c>
      <c r="F78" s="4">
        <v>0</v>
      </c>
      <c r="G78" s="4">
        <v>49.95</v>
      </c>
      <c r="H78" s="4">
        <v>34.24</v>
      </c>
      <c r="I78" s="4"/>
      <c r="J78" s="4">
        <f t="shared" si="18"/>
        <v>1.0827638708416532</v>
      </c>
      <c r="K78" s="5">
        <f t="shared" si="19"/>
        <v>10.796157578216425</v>
      </c>
      <c r="L78" s="5">
        <f t="shared" si="20"/>
        <v>10.61545180456868</v>
      </c>
      <c r="M78" s="5">
        <f t="shared" si="21"/>
        <v>10.984710019459886</v>
      </c>
      <c r="N78" s="5">
        <f t="shared" si="22"/>
        <v>0.18070577364774465</v>
      </c>
      <c r="O78" s="5">
        <f t="shared" si="23"/>
        <v>0.18855244124346093</v>
      </c>
    </row>
    <row r="79" spans="1:15" ht="15.6" customHeight="1" x14ac:dyDescent="0.3">
      <c r="A79" s="3">
        <v>4</v>
      </c>
      <c r="B79" s="3">
        <v>200</v>
      </c>
      <c r="C79" s="3">
        <v>1000</v>
      </c>
      <c r="D79" s="4">
        <v>0.1</v>
      </c>
      <c r="E79" s="3">
        <v>10</v>
      </c>
      <c r="F79" s="4">
        <v>0</v>
      </c>
      <c r="G79" s="4">
        <v>55.72</v>
      </c>
      <c r="H79" s="4">
        <v>39.79</v>
      </c>
      <c r="I79" s="4"/>
      <c r="J79" s="4">
        <f t="shared" si="18"/>
        <v>1.2582702809809982</v>
      </c>
      <c r="K79" s="5">
        <f t="shared" si="19"/>
        <v>10.321401426317179</v>
      </c>
      <c r="L79" s="5">
        <f t="shared" si="20"/>
        <v>10.133311822082419</v>
      </c>
      <c r="M79" s="5">
        <f t="shared" si="21"/>
        <v>10.518007269908757</v>
      </c>
      <c r="N79" s="5">
        <f t="shared" si="22"/>
        <v>0.18808960423475973</v>
      </c>
      <c r="O79" s="5">
        <f t="shared" si="23"/>
        <v>0.19660584359157873</v>
      </c>
    </row>
    <row r="80" spans="1:15" ht="15.6" customHeight="1" x14ac:dyDescent="0.3">
      <c r="A80" s="3">
        <v>4</v>
      </c>
      <c r="B80" s="3">
        <v>200</v>
      </c>
      <c r="C80" s="3">
        <v>1000</v>
      </c>
      <c r="D80" s="4">
        <v>0.11</v>
      </c>
      <c r="E80" s="3">
        <v>10</v>
      </c>
      <c r="F80" s="3">
        <v>0</v>
      </c>
      <c r="G80" s="4">
        <v>57.2</v>
      </c>
      <c r="H80" s="4">
        <v>39.24</v>
      </c>
      <c r="I80" s="4"/>
      <c r="J80" s="4">
        <f t="shared" si="18"/>
        <v>1.2408777538500722</v>
      </c>
      <c r="K80" s="5">
        <f t="shared" si="19"/>
        <v>10.207552215906194</v>
      </c>
      <c r="L80" s="5">
        <f t="shared" si="20"/>
        <v>10.026709981302862</v>
      </c>
      <c r="M80" s="5">
        <f t="shared" si="21"/>
        <v>10.396253233087906</v>
      </c>
      <c r="N80" s="5">
        <f t="shared" si="22"/>
        <v>0.18084223460333249</v>
      </c>
      <c r="O80" s="5">
        <f t="shared" si="23"/>
        <v>0.18870101718171206</v>
      </c>
    </row>
    <row r="81" spans="1:15" ht="15.6" customHeight="1" x14ac:dyDescent="0.3">
      <c r="A81" s="3">
        <v>4</v>
      </c>
      <c r="B81" s="3">
        <v>200</v>
      </c>
      <c r="C81" s="3">
        <v>1000</v>
      </c>
      <c r="D81" s="4">
        <v>0.12</v>
      </c>
      <c r="E81" s="3">
        <v>10</v>
      </c>
      <c r="F81" s="4">
        <v>0</v>
      </c>
      <c r="G81" s="4">
        <v>61.74</v>
      </c>
      <c r="H81" s="4">
        <v>38.130000000000003</v>
      </c>
      <c r="I81" s="4"/>
      <c r="J81" s="4">
        <f t="shared" si="18"/>
        <v>1.205776471822203</v>
      </c>
      <c r="K81" s="5">
        <f t="shared" si="19"/>
        <v>9.8758462523756698</v>
      </c>
      <c r="L81" s="5">
        <f t="shared" si="20"/>
        <v>9.7127071479860412</v>
      </c>
      <c r="M81" s="5">
        <f t="shared" si="21"/>
        <v>10.045353534621322</v>
      </c>
      <c r="N81" s="5">
        <f t="shared" si="22"/>
        <v>0.16313910438962864</v>
      </c>
      <c r="O81" s="5">
        <f t="shared" si="23"/>
        <v>0.16950728224565204</v>
      </c>
    </row>
    <row r="82" spans="1:15" ht="15.6" customHeight="1" x14ac:dyDescent="0.3">
      <c r="A82" s="3">
        <v>4</v>
      </c>
      <c r="B82" s="3">
        <v>200</v>
      </c>
      <c r="C82" s="3">
        <v>1000</v>
      </c>
      <c r="D82" s="4">
        <v>0.13</v>
      </c>
      <c r="E82" s="3">
        <v>10</v>
      </c>
      <c r="F82" s="4">
        <v>0</v>
      </c>
      <c r="G82" s="4">
        <v>67.150000000000006</v>
      </c>
      <c r="H82" s="4">
        <v>38.36</v>
      </c>
      <c r="I82" s="4"/>
      <c r="J82" s="4">
        <f t="shared" si="18"/>
        <v>1.2130497104405904</v>
      </c>
      <c r="K82" s="5">
        <f t="shared" si="19"/>
        <v>9.5110523337890935</v>
      </c>
      <c r="L82" s="5">
        <f t="shared" si="20"/>
        <v>9.359941529704475</v>
      </c>
      <c r="M82" s="5">
        <f t="shared" si="21"/>
        <v>9.6676110988312676</v>
      </c>
      <c r="N82" s="5">
        <f t="shared" si="22"/>
        <v>0.15111080408461852</v>
      </c>
      <c r="O82" s="5">
        <f t="shared" si="23"/>
        <v>0.15655876504217403</v>
      </c>
    </row>
    <row r="83" spans="1:15" ht="15.6" customHeight="1" x14ac:dyDescent="0.3">
      <c r="A83" s="3">
        <v>4</v>
      </c>
      <c r="B83" s="3">
        <v>200</v>
      </c>
      <c r="C83" s="3">
        <v>1000</v>
      </c>
      <c r="D83" s="4">
        <v>0.14000000000000001</v>
      </c>
      <c r="E83" s="3">
        <v>10</v>
      </c>
      <c r="F83" s="4">
        <v>0</v>
      </c>
      <c r="G83" s="4">
        <v>79.11</v>
      </c>
      <c r="H83" s="4">
        <v>48.13</v>
      </c>
      <c r="I83" s="4"/>
      <c r="J83" s="4">
        <f t="shared" si="18"/>
        <v>1.522004237839041</v>
      </c>
      <c r="K83" s="5">
        <f t="shared" si="19"/>
        <v>8.7991986587054694</v>
      </c>
      <c r="L83" s="5">
        <f t="shared" si="20"/>
        <v>8.6384444483075882</v>
      </c>
      <c r="M83" s="5">
        <f t="shared" si="21"/>
        <v>8.9661326682728717</v>
      </c>
      <c r="N83" s="5">
        <f t="shared" si="22"/>
        <v>0.16075421039788118</v>
      </c>
      <c r="O83" s="5">
        <f t="shared" si="23"/>
        <v>0.16693400956740234</v>
      </c>
    </row>
    <row r="84" spans="1:15" ht="15.6" customHeight="1" x14ac:dyDescent="0.3">
      <c r="A84" s="3">
        <v>4</v>
      </c>
      <c r="B84" s="3">
        <v>200</v>
      </c>
      <c r="C84" s="3">
        <v>1000</v>
      </c>
      <c r="D84" s="4">
        <v>0.15</v>
      </c>
      <c r="E84" s="3">
        <v>10</v>
      </c>
      <c r="F84" s="4">
        <v>0</v>
      </c>
      <c r="G84" s="4">
        <v>84.34</v>
      </c>
      <c r="H84" s="4">
        <v>39.46</v>
      </c>
      <c r="I84" s="4"/>
      <c r="J84" s="4">
        <f t="shared" si="18"/>
        <v>1.2478347647024426</v>
      </c>
      <c r="K84" s="5">
        <f t="shared" si="19"/>
        <v>8.5211765370479888</v>
      </c>
      <c r="L84" s="5">
        <f t="shared" si="20"/>
        <v>8.3970279868562532</v>
      </c>
      <c r="M84" s="5">
        <f t="shared" si="21"/>
        <v>8.6489787300878724</v>
      </c>
      <c r="N84" s="5">
        <f t="shared" si="22"/>
        <v>0.12414855019173565</v>
      </c>
      <c r="O84" s="5">
        <f t="shared" si="23"/>
        <v>0.1278021930398836</v>
      </c>
    </row>
    <row r="85" spans="1:15" x14ac:dyDescent="0.3">
      <c r="A85" s="1">
        <v>4</v>
      </c>
      <c r="B85" s="1">
        <v>200</v>
      </c>
      <c r="C85" s="1">
        <v>1000</v>
      </c>
      <c r="D85" s="2">
        <v>0.16</v>
      </c>
      <c r="E85" s="1">
        <v>10</v>
      </c>
      <c r="F85" s="2">
        <v>0</v>
      </c>
      <c r="G85" s="2">
        <v>94.7</v>
      </c>
      <c r="H85" s="2">
        <v>39.25</v>
      </c>
      <c r="J85" s="4">
        <f t="shared" si="18"/>
        <v>1.2411939816160888</v>
      </c>
      <c r="K85" s="5">
        <f t="shared" si="19"/>
        <v>8.018012713803703</v>
      </c>
      <c r="L85" s="5">
        <f t="shared" si="20"/>
        <v>7.9078560962812432</v>
      </c>
      <c r="M85" s="5">
        <f t="shared" si="21"/>
        <v>8.1310362749796443</v>
      </c>
      <c r="N85" s="5">
        <f t="shared" si="22"/>
        <v>0.11015661752245975</v>
      </c>
      <c r="O85" s="5">
        <f t="shared" si="23"/>
        <v>0.11302356117594137</v>
      </c>
    </row>
    <row r="86" spans="1:15" x14ac:dyDescent="0.3">
      <c r="A86" s="1">
        <v>4</v>
      </c>
      <c r="B86" s="1">
        <v>200</v>
      </c>
      <c r="C86" s="1">
        <v>1000</v>
      </c>
      <c r="D86" s="2">
        <v>0.17</v>
      </c>
      <c r="E86" s="1">
        <v>10</v>
      </c>
      <c r="F86" s="2">
        <v>0</v>
      </c>
      <c r="G86" s="2">
        <v>111.43</v>
      </c>
      <c r="H86" s="2">
        <v>46.73</v>
      </c>
      <c r="J86" s="4">
        <f t="shared" si="18"/>
        <v>1.4777323505966835</v>
      </c>
      <c r="K86" s="5">
        <f t="shared" si="19"/>
        <v>7.3114911986513818</v>
      </c>
      <c r="L86" s="5">
        <f t="shared" si="20"/>
        <v>7.2000489148014735</v>
      </c>
      <c r="M86" s="5">
        <f t="shared" si="21"/>
        <v>7.4258686338778643</v>
      </c>
      <c r="N86" s="5">
        <f t="shared" si="22"/>
        <v>0.11144228384990829</v>
      </c>
      <c r="O86" s="5">
        <f t="shared" si="23"/>
        <v>0.11437743522648258</v>
      </c>
    </row>
    <row r="87" spans="1:15" x14ac:dyDescent="0.3">
      <c r="A87" s="1">
        <v>4</v>
      </c>
      <c r="B87" s="1">
        <v>200</v>
      </c>
      <c r="C87" s="1">
        <v>1000</v>
      </c>
      <c r="D87" s="2">
        <v>0.18</v>
      </c>
      <c r="E87" s="1">
        <v>10</v>
      </c>
      <c r="F87" s="2">
        <v>0</v>
      </c>
      <c r="G87" s="2">
        <v>121.22</v>
      </c>
      <c r="H87" s="2">
        <v>41.92</v>
      </c>
      <c r="J87" s="4">
        <f t="shared" si="18"/>
        <v>1.3256267951425846</v>
      </c>
      <c r="K87" s="5">
        <f t="shared" si="19"/>
        <v>6.945769707096523</v>
      </c>
      <c r="L87" s="5">
        <f t="shared" si="20"/>
        <v>6.8536666416300598</v>
      </c>
      <c r="M87" s="5">
        <f t="shared" si="21"/>
        <v>7.0398684494273898</v>
      </c>
      <c r="N87" s="5">
        <f t="shared" si="22"/>
        <v>9.2103065466463185E-2</v>
      </c>
      <c r="O87" s="5">
        <f t="shared" si="23"/>
        <v>9.4098742330866791E-2</v>
      </c>
    </row>
    <row r="88" spans="1:15" x14ac:dyDescent="0.3">
      <c r="A88" s="1">
        <v>4</v>
      </c>
      <c r="B88" s="1">
        <v>200</v>
      </c>
      <c r="C88" s="1">
        <v>1000</v>
      </c>
      <c r="D88" s="2">
        <v>0.19</v>
      </c>
      <c r="E88" s="1">
        <v>10</v>
      </c>
      <c r="F88" s="2">
        <v>0</v>
      </c>
      <c r="G88" s="2">
        <v>131.65</v>
      </c>
      <c r="H88" s="2">
        <v>34.68</v>
      </c>
      <c r="J88" s="4">
        <f t="shared" si="18"/>
        <v>1.096677892546394</v>
      </c>
      <c r="K88" s="5">
        <f t="shared" si="19"/>
        <v>6.5873038694155657</v>
      </c>
      <c r="L88" s="5">
        <f t="shared" si="20"/>
        <v>6.5169679665652005</v>
      </c>
      <c r="M88" s="5">
        <f t="shared" si="21"/>
        <v>6.6587976715846935</v>
      </c>
      <c r="N88" s="5">
        <f t="shared" si="22"/>
        <v>7.0335902850365173E-2</v>
      </c>
      <c r="O88" s="5">
        <f t="shared" si="23"/>
        <v>7.1493802169127818E-2</v>
      </c>
    </row>
    <row r="89" spans="1:15" x14ac:dyDescent="0.3">
      <c r="A89" s="1">
        <v>4</v>
      </c>
      <c r="B89" s="1">
        <v>200</v>
      </c>
      <c r="C89" s="1">
        <v>1000</v>
      </c>
      <c r="D89" s="2">
        <v>0.2</v>
      </c>
      <c r="E89" s="1">
        <v>10</v>
      </c>
      <c r="F89" s="2">
        <v>0</v>
      </c>
      <c r="G89" s="2">
        <v>148.03</v>
      </c>
      <c r="H89" s="2">
        <v>43.31</v>
      </c>
      <c r="J89" s="4">
        <f t="shared" si="18"/>
        <v>1.3695824546189252</v>
      </c>
      <c r="K89" s="5">
        <f t="shared" si="19"/>
        <v>6.0780151124445965</v>
      </c>
      <c r="L89" s="5">
        <f t="shared" si="20"/>
        <v>5.9999655443057245</v>
      </c>
      <c r="M89" s="5">
        <f t="shared" si="21"/>
        <v>6.1574930638717031</v>
      </c>
      <c r="N89" s="5">
        <f t="shared" si="22"/>
        <v>7.8049568138871983E-2</v>
      </c>
      <c r="O89" s="5">
        <f t="shared" si="23"/>
        <v>7.9477951427106674E-2</v>
      </c>
    </row>
    <row r="107" spans="10:15" ht="18.75" customHeight="1" x14ac:dyDescent="0.3">
      <c r="J107" s="4"/>
      <c r="K107" s="5"/>
      <c r="L107" s="5"/>
      <c r="M107" s="5"/>
      <c r="N107" s="5"/>
      <c r="O107" s="5"/>
    </row>
  </sheetData>
  <pageMargins left="0.7" right="0.7" top="0.75" bottom="0.75" header="0.3" footer="0.3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5ADDA1-CFD1-44D3-B1FA-3F471975C3AF}">
  <sheetPr codeName="Sheet8">
    <outlinePr summaryBelow="0"/>
  </sheetPr>
  <dimension ref="A1:O87"/>
  <sheetViews>
    <sheetView zoomScale="115" zoomScaleNormal="115" workbookViewId="0">
      <pane ySplit="1" topLeftCell="A2" activePane="bottomLeft" state="frozen"/>
      <selection activeCell="G30" sqref="G30"/>
      <selection pane="bottomLeft" activeCell="A54" sqref="A54:H69"/>
    </sheetView>
  </sheetViews>
  <sheetFormatPr defaultRowHeight="14.4" x14ac:dyDescent="0.3"/>
  <cols>
    <col min="1" max="1" width="13.33203125" style="1" bestFit="1" customWidth="1"/>
    <col min="2" max="2" width="10.33203125" style="1" customWidth="1"/>
    <col min="3" max="3" width="10.77734375" style="1" customWidth="1"/>
    <col min="4" max="4" width="10.21875" style="2" customWidth="1"/>
    <col min="5" max="5" width="11.77734375" style="1" customWidth="1"/>
    <col min="6" max="6" width="9.44140625" style="2" customWidth="1"/>
    <col min="7" max="9" width="10" style="2" customWidth="1"/>
    <col min="10" max="10" width="9" style="2" customWidth="1"/>
    <col min="11" max="15" width="12.44140625" style="2" customWidth="1"/>
    <col min="16" max="16" width="12.44140625" customWidth="1"/>
  </cols>
  <sheetData>
    <row r="1" spans="1:15" s="6" customFormat="1" ht="15.6" customHeight="1" x14ac:dyDescent="0.3">
      <c r="A1" s="11" t="s">
        <v>14</v>
      </c>
      <c r="B1" s="11" t="s">
        <v>0</v>
      </c>
      <c r="C1" s="11" t="s">
        <v>1</v>
      </c>
      <c r="D1" s="12" t="s">
        <v>2</v>
      </c>
      <c r="E1" s="11" t="s">
        <v>3</v>
      </c>
      <c r="F1" s="12" t="s">
        <v>4</v>
      </c>
      <c r="G1" s="12" t="s">
        <v>5</v>
      </c>
      <c r="H1" s="12" t="s">
        <v>6</v>
      </c>
      <c r="I1" s="12"/>
      <c r="J1" s="12" t="s">
        <v>7</v>
      </c>
      <c r="K1" s="12" t="s">
        <v>8</v>
      </c>
      <c r="L1" s="12" t="s">
        <v>9</v>
      </c>
      <c r="M1" s="12" t="s">
        <v>10</v>
      </c>
      <c r="N1" s="12" t="s">
        <v>11</v>
      </c>
      <c r="O1" s="12" t="s">
        <v>12</v>
      </c>
    </row>
    <row r="2" spans="1:15" ht="15.6" customHeight="1" x14ac:dyDescent="0.3">
      <c r="A2" s="13" t="s">
        <v>13</v>
      </c>
      <c r="B2" s="7"/>
      <c r="C2" s="7"/>
      <c r="D2" s="8"/>
      <c r="E2" s="7"/>
      <c r="F2" s="8"/>
      <c r="G2" s="8"/>
      <c r="H2" s="8"/>
      <c r="I2" s="8"/>
      <c r="J2" s="9"/>
      <c r="K2" s="10"/>
      <c r="L2" s="10"/>
      <c r="M2" s="10"/>
      <c r="N2" s="10"/>
      <c r="O2" s="10"/>
    </row>
    <row r="3" spans="1:15" ht="15.6" customHeight="1" x14ac:dyDescent="0.3">
      <c r="A3" s="1">
        <v>1</v>
      </c>
      <c r="B3" s="1">
        <v>200</v>
      </c>
      <c r="C3" s="1">
        <v>1000</v>
      </c>
      <c r="D3" s="2">
        <v>0.1</v>
      </c>
      <c r="E3" s="1">
        <v>5</v>
      </c>
      <c r="F3" s="2">
        <v>0</v>
      </c>
      <c r="G3" s="2">
        <v>189.62</v>
      </c>
      <c r="H3" s="2">
        <v>54.99</v>
      </c>
      <c r="J3" s="4">
        <f t="shared" ref="J3:J18" si="0">H3/SQRT(C3)</f>
        <v>1.7389364853265918</v>
      </c>
      <c r="K3" s="5">
        <f t="shared" ref="K3:K18" si="1">-10*LOG10(G3/(B3*3))</f>
        <v>5.0026710814344355</v>
      </c>
      <c r="L3" s="5">
        <f t="shared" ref="L3:L18" si="2">-10*LOG10((G3+1.96*J3)/(B3*3))</f>
        <v>4.9253022962306945</v>
      </c>
      <c r="M3" s="5">
        <f t="shared" ref="M3:M18" si="3">-10*LOG10((G3-1.96*J3)/(B3*3))</f>
        <v>5.0814432159127234</v>
      </c>
      <c r="N3" s="5">
        <f t="shared" ref="N3:N18" si="4">K3-L3</f>
        <v>7.736878520374102E-2</v>
      </c>
      <c r="O3" s="5">
        <f t="shared" ref="O3:O18" si="5">M3-K3</f>
        <v>7.8772134478287903E-2</v>
      </c>
    </row>
    <row r="4" spans="1:15" ht="15.6" customHeight="1" x14ac:dyDescent="0.3">
      <c r="A4" s="3">
        <v>1</v>
      </c>
      <c r="B4" s="3">
        <v>200</v>
      </c>
      <c r="C4" s="3">
        <v>1000</v>
      </c>
      <c r="D4" s="4">
        <v>0.1</v>
      </c>
      <c r="E4" s="3">
        <v>6</v>
      </c>
      <c r="F4" s="4">
        <v>0</v>
      </c>
      <c r="G4" s="4">
        <v>142.05000000000001</v>
      </c>
      <c r="H4" s="4">
        <v>57.92</v>
      </c>
      <c r="I4" s="4"/>
      <c r="J4" s="4">
        <f t="shared" si="0"/>
        <v>1.8315912207695253</v>
      </c>
      <c r="K4" s="5">
        <f t="shared" si="1"/>
        <v>6.2571001232468895</v>
      </c>
      <c r="L4" s="5">
        <f t="shared" si="2"/>
        <v>6.1487082227971959</v>
      </c>
      <c r="M4" s="5">
        <f t="shared" si="3"/>
        <v>6.368266683930135</v>
      </c>
      <c r="N4" s="5">
        <f t="shared" si="4"/>
        <v>0.1083919004496936</v>
      </c>
      <c r="O4" s="5">
        <f t="shared" si="5"/>
        <v>0.11116656068324549</v>
      </c>
    </row>
    <row r="5" spans="1:15" ht="15.6" customHeight="1" x14ac:dyDescent="0.3">
      <c r="A5" s="3">
        <v>1</v>
      </c>
      <c r="B5" s="3">
        <v>200</v>
      </c>
      <c r="C5" s="3">
        <v>1000</v>
      </c>
      <c r="D5" s="4">
        <v>0.1</v>
      </c>
      <c r="E5" s="3">
        <v>7</v>
      </c>
      <c r="F5" s="4">
        <v>0</v>
      </c>
      <c r="G5" s="4">
        <v>118.02</v>
      </c>
      <c r="H5" s="4">
        <v>62.3</v>
      </c>
      <c r="I5" s="4"/>
      <c r="J5" s="4">
        <f t="shared" si="0"/>
        <v>1.9700989822849002</v>
      </c>
      <c r="K5" s="5">
        <f t="shared" si="1"/>
        <v>7.0619564008066327</v>
      </c>
      <c r="L5" s="5">
        <f t="shared" si="2"/>
        <v>6.9221383760837698</v>
      </c>
      <c r="M5" s="5">
        <f t="shared" si="3"/>
        <v>7.2064259346990962</v>
      </c>
      <c r="N5" s="5">
        <f t="shared" si="4"/>
        <v>0.13981802472286287</v>
      </c>
      <c r="O5" s="5">
        <f t="shared" si="5"/>
        <v>0.14446953389246353</v>
      </c>
    </row>
    <row r="6" spans="1:15" ht="15.6" customHeight="1" x14ac:dyDescent="0.3">
      <c r="A6" s="3">
        <v>1</v>
      </c>
      <c r="B6" s="3">
        <v>200</v>
      </c>
      <c r="C6" s="3">
        <v>1000</v>
      </c>
      <c r="D6" s="4">
        <v>0.1</v>
      </c>
      <c r="E6" s="3">
        <v>8</v>
      </c>
      <c r="F6" s="4">
        <v>0</v>
      </c>
      <c r="G6" s="4">
        <v>101</v>
      </c>
      <c r="H6" s="4">
        <v>59.19</v>
      </c>
      <c r="I6" s="4"/>
      <c r="J6" s="4">
        <f t="shared" si="0"/>
        <v>1.8717521470536638</v>
      </c>
      <c r="K6" s="5">
        <f t="shared" si="1"/>
        <v>7.7382987660100113</v>
      </c>
      <c r="L6" s="5">
        <f t="shared" si="2"/>
        <v>7.5833469316629722</v>
      </c>
      <c r="M6" s="5">
        <f t="shared" si="3"/>
        <v>7.898984327755568</v>
      </c>
      <c r="N6" s="5">
        <f t="shared" si="4"/>
        <v>0.15495183434703907</v>
      </c>
      <c r="O6" s="5">
        <f t="shared" si="5"/>
        <v>0.1606855617455567</v>
      </c>
    </row>
    <row r="7" spans="1:15" ht="15.6" customHeight="1" x14ac:dyDescent="0.3">
      <c r="A7" s="3">
        <v>1</v>
      </c>
      <c r="B7" s="3">
        <v>200</v>
      </c>
      <c r="C7" s="3">
        <v>1000</v>
      </c>
      <c r="D7" s="4">
        <v>0.1</v>
      </c>
      <c r="E7" s="3">
        <v>9</v>
      </c>
      <c r="F7" s="4">
        <v>0</v>
      </c>
      <c r="G7" s="4">
        <v>99.1</v>
      </c>
      <c r="H7" s="4">
        <v>67.09</v>
      </c>
      <c r="I7" s="4"/>
      <c r="J7" s="4">
        <f t="shared" si="0"/>
        <v>2.1215720822069657</v>
      </c>
      <c r="K7" s="5">
        <f t="shared" si="1"/>
        <v>7.8207759589836829</v>
      </c>
      <c r="L7" s="5">
        <f t="shared" si="2"/>
        <v>7.6422635837992718</v>
      </c>
      <c r="M7" s="5">
        <f t="shared" si="3"/>
        <v>8.0069416094772379</v>
      </c>
      <c r="N7" s="5">
        <f t="shared" si="4"/>
        <v>0.1785123751844111</v>
      </c>
      <c r="O7" s="5">
        <f t="shared" si="5"/>
        <v>0.18616565049355493</v>
      </c>
    </row>
    <row r="8" spans="1:15" ht="15.6" customHeight="1" x14ac:dyDescent="0.3">
      <c r="A8" s="3">
        <v>1</v>
      </c>
      <c r="B8" s="3">
        <v>200</v>
      </c>
      <c r="C8" s="3">
        <v>1000</v>
      </c>
      <c r="D8" s="4">
        <v>0.1</v>
      </c>
      <c r="E8" s="3">
        <v>10</v>
      </c>
      <c r="F8" s="4">
        <v>0</v>
      </c>
      <c r="G8" s="4">
        <v>91.09</v>
      </c>
      <c r="H8" s="4">
        <v>66.180000000000007</v>
      </c>
      <c r="I8" s="4"/>
      <c r="J8" s="4">
        <f t="shared" si="0"/>
        <v>2.0927953554994336</v>
      </c>
      <c r="K8" s="5">
        <f t="shared" si="1"/>
        <v>8.1868054830853652</v>
      </c>
      <c r="L8" s="5">
        <f t="shared" si="2"/>
        <v>7.9955135137688931</v>
      </c>
      <c r="M8" s="5">
        <f t="shared" si="3"/>
        <v>8.3869129996677856</v>
      </c>
      <c r="N8" s="5">
        <f t="shared" si="4"/>
        <v>0.19129196931647208</v>
      </c>
      <c r="O8" s="5">
        <f t="shared" si="5"/>
        <v>0.20010751658242043</v>
      </c>
    </row>
    <row r="9" spans="1:15" ht="15.6" customHeight="1" x14ac:dyDescent="0.3">
      <c r="A9" s="3">
        <v>1</v>
      </c>
      <c r="B9" s="3">
        <v>200</v>
      </c>
      <c r="C9" s="3">
        <v>1000</v>
      </c>
      <c r="D9" s="4">
        <v>0.1</v>
      </c>
      <c r="E9" s="3">
        <v>11</v>
      </c>
      <c r="F9" s="4">
        <v>0</v>
      </c>
      <c r="G9" s="4">
        <v>89.17</v>
      </c>
      <c r="H9" s="4">
        <v>69.459999999999994</v>
      </c>
      <c r="I9" s="4"/>
      <c r="J9" s="4">
        <f t="shared" si="0"/>
        <v>2.1965180627529564</v>
      </c>
      <c r="K9" s="5">
        <f t="shared" si="1"/>
        <v>8.2793248374178017</v>
      </c>
      <c r="L9" s="5">
        <f t="shared" si="2"/>
        <v>8.0745496161775847</v>
      </c>
      <c r="M9" s="5">
        <f t="shared" si="3"/>
        <v>8.4942353244755484</v>
      </c>
      <c r="N9" s="5">
        <f t="shared" si="4"/>
        <v>0.20477522124021696</v>
      </c>
      <c r="O9" s="5">
        <f t="shared" si="5"/>
        <v>0.21491048705774674</v>
      </c>
    </row>
    <row r="10" spans="1:15" ht="15.6" customHeight="1" x14ac:dyDescent="0.3">
      <c r="A10" s="3">
        <v>1</v>
      </c>
      <c r="B10" s="3">
        <v>200</v>
      </c>
      <c r="C10" s="3">
        <v>1000</v>
      </c>
      <c r="D10" s="4">
        <v>0.1</v>
      </c>
      <c r="E10" s="3">
        <v>12</v>
      </c>
      <c r="F10" s="4">
        <v>0</v>
      </c>
      <c r="G10" s="4">
        <v>82.03</v>
      </c>
      <c r="H10" s="4">
        <v>64.8</v>
      </c>
      <c r="I10" s="4"/>
      <c r="J10" s="4">
        <f t="shared" si="0"/>
        <v>2.0491559237891099</v>
      </c>
      <c r="K10" s="5">
        <f t="shared" si="1"/>
        <v>8.6417853883267242</v>
      </c>
      <c r="L10" s="5">
        <f t="shared" si="2"/>
        <v>8.4341881982048026</v>
      </c>
      <c r="M10" s="5">
        <f t="shared" si="3"/>
        <v>8.8598062837297036</v>
      </c>
      <c r="N10" s="5">
        <f t="shared" si="4"/>
        <v>0.20759719012192157</v>
      </c>
      <c r="O10" s="5">
        <f t="shared" si="5"/>
        <v>0.21802089540297942</v>
      </c>
    </row>
    <row r="11" spans="1:15" ht="15.6" customHeight="1" x14ac:dyDescent="0.3">
      <c r="A11" s="3">
        <v>1</v>
      </c>
      <c r="B11" s="3">
        <v>200</v>
      </c>
      <c r="C11" s="3">
        <v>1000</v>
      </c>
      <c r="D11" s="4">
        <v>0.1</v>
      </c>
      <c r="E11" s="3">
        <v>13</v>
      </c>
      <c r="F11" s="4">
        <v>0</v>
      </c>
      <c r="G11" s="4">
        <v>80.209999999999994</v>
      </c>
      <c r="H11" s="4">
        <v>66.34</v>
      </c>
      <c r="I11" s="4"/>
      <c r="J11" s="4">
        <f t="shared" si="0"/>
        <v>2.097854999755703</v>
      </c>
      <c r="K11" s="5">
        <f t="shared" si="1"/>
        <v>8.7392273404356526</v>
      </c>
      <c r="L11" s="5">
        <f t="shared" si="2"/>
        <v>8.5221140325618538</v>
      </c>
      <c r="M11" s="5">
        <f t="shared" si="3"/>
        <v>8.9677684216793097</v>
      </c>
      <c r="N11" s="5">
        <f t="shared" si="4"/>
        <v>0.21711330787379879</v>
      </c>
      <c r="O11" s="5">
        <f t="shared" si="5"/>
        <v>0.22854108124365702</v>
      </c>
    </row>
    <row r="12" spans="1:15" ht="15.6" customHeight="1" x14ac:dyDescent="0.3">
      <c r="A12" s="3">
        <v>1</v>
      </c>
      <c r="B12" s="3">
        <v>200</v>
      </c>
      <c r="C12" s="3">
        <v>1000</v>
      </c>
      <c r="D12" s="4">
        <v>0.1</v>
      </c>
      <c r="E12" s="3">
        <v>14</v>
      </c>
      <c r="F12" s="4">
        <v>0</v>
      </c>
      <c r="G12" s="4">
        <v>83.05</v>
      </c>
      <c r="H12" s="4">
        <v>67.72</v>
      </c>
      <c r="I12" s="4"/>
      <c r="J12" s="4">
        <f t="shared" si="0"/>
        <v>2.1414944314660267</v>
      </c>
      <c r="K12" s="5">
        <f t="shared" si="1"/>
        <v>8.5881161359623039</v>
      </c>
      <c r="L12" s="5">
        <f t="shared" si="2"/>
        <v>8.3739910966484512</v>
      </c>
      <c r="M12" s="5">
        <f t="shared" si="3"/>
        <v>8.8133484195514313</v>
      </c>
      <c r="N12" s="5">
        <f t="shared" si="4"/>
        <v>0.21412503931385274</v>
      </c>
      <c r="O12" s="5">
        <f t="shared" si="5"/>
        <v>0.22523228358912739</v>
      </c>
    </row>
    <row r="13" spans="1:15" ht="15.6" customHeight="1" x14ac:dyDescent="0.3">
      <c r="A13" s="3">
        <v>1</v>
      </c>
      <c r="B13" s="3">
        <v>200</v>
      </c>
      <c r="C13" s="3">
        <v>1000</v>
      </c>
      <c r="D13" s="4">
        <v>0.1</v>
      </c>
      <c r="E13" s="3">
        <v>15</v>
      </c>
      <c r="F13" s="4">
        <v>0</v>
      </c>
      <c r="G13" s="4">
        <v>76.69</v>
      </c>
      <c r="H13" s="4">
        <v>67.5</v>
      </c>
      <c r="I13" s="4"/>
      <c r="J13" s="4">
        <f t="shared" si="0"/>
        <v>2.1345374206136563</v>
      </c>
      <c r="K13" s="5">
        <f t="shared" si="1"/>
        <v>8.9341251261401187</v>
      </c>
      <c r="L13" s="5">
        <f t="shared" si="2"/>
        <v>8.7034397343516954</v>
      </c>
      <c r="M13" s="5">
        <f t="shared" si="3"/>
        <v>9.1777546689397607</v>
      </c>
      <c r="N13" s="5">
        <f t="shared" si="4"/>
        <v>0.23068539178842329</v>
      </c>
      <c r="O13" s="5">
        <f t="shared" si="5"/>
        <v>0.243629542799642</v>
      </c>
    </row>
    <row r="14" spans="1:15" ht="15.6" customHeight="1" x14ac:dyDescent="0.3">
      <c r="A14" s="3">
        <v>1</v>
      </c>
      <c r="B14" s="3">
        <v>200</v>
      </c>
      <c r="C14" s="3">
        <v>1000</v>
      </c>
      <c r="D14" s="4">
        <v>0.1</v>
      </c>
      <c r="E14" s="3">
        <v>16</v>
      </c>
      <c r="F14" s="4">
        <v>0</v>
      </c>
      <c r="G14" s="4">
        <v>80.45</v>
      </c>
      <c r="H14" s="4">
        <v>71.67</v>
      </c>
      <c r="I14" s="4"/>
      <c r="J14" s="4">
        <f t="shared" si="0"/>
        <v>2.2664043990426777</v>
      </c>
      <c r="K14" s="5">
        <f t="shared" si="1"/>
        <v>8.726252019485953</v>
      </c>
      <c r="L14" s="5">
        <f t="shared" si="2"/>
        <v>8.4928370419651458</v>
      </c>
      <c r="M14" s="5">
        <f t="shared" si="3"/>
        <v>8.9729281735323401</v>
      </c>
      <c r="N14" s="5">
        <f t="shared" si="4"/>
        <v>0.2334149775208072</v>
      </c>
      <c r="O14" s="5">
        <f t="shared" si="5"/>
        <v>0.2466761540463871</v>
      </c>
    </row>
    <row r="15" spans="1:15" ht="15.6" customHeight="1" x14ac:dyDescent="0.3">
      <c r="A15" s="3">
        <v>1</v>
      </c>
      <c r="B15" s="3">
        <v>200</v>
      </c>
      <c r="C15" s="3">
        <v>1000</v>
      </c>
      <c r="D15" s="4">
        <v>0.1</v>
      </c>
      <c r="E15" s="3">
        <v>17</v>
      </c>
      <c r="F15" s="4">
        <v>0</v>
      </c>
      <c r="G15" s="4">
        <v>76.88</v>
      </c>
      <c r="H15" s="4">
        <v>70.709999999999994</v>
      </c>
      <c r="I15" s="4"/>
      <c r="J15" s="4">
        <f t="shared" si="0"/>
        <v>2.236046533505061</v>
      </c>
      <c r="K15" s="5">
        <f t="shared" si="1"/>
        <v>8.9233787572315464</v>
      </c>
      <c r="L15" s="5">
        <f t="shared" si="2"/>
        <v>8.6826026324225065</v>
      </c>
      <c r="M15" s="5">
        <f t="shared" si="3"/>
        <v>9.1782912553741998</v>
      </c>
      <c r="N15" s="5">
        <f t="shared" si="4"/>
        <v>0.24077612480903987</v>
      </c>
      <c r="O15" s="5">
        <f t="shared" si="5"/>
        <v>0.25491249814265338</v>
      </c>
    </row>
    <row r="16" spans="1:15" ht="15.6" customHeight="1" x14ac:dyDescent="0.3">
      <c r="A16" s="3">
        <v>1</v>
      </c>
      <c r="B16" s="3">
        <v>200</v>
      </c>
      <c r="C16" s="3">
        <v>1000</v>
      </c>
      <c r="D16" s="4">
        <v>0.1</v>
      </c>
      <c r="E16" s="3">
        <v>18</v>
      </c>
      <c r="F16" s="4">
        <v>0</v>
      </c>
      <c r="G16" s="4">
        <v>70.23</v>
      </c>
      <c r="H16" s="4">
        <v>69.16</v>
      </c>
      <c r="I16" s="4"/>
      <c r="J16" s="4">
        <f t="shared" si="0"/>
        <v>2.187031229772451</v>
      </c>
      <c r="K16" s="5">
        <f t="shared" si="1"/>
        <v>9.3162858196735687</v>
      </c>
      <c r="L16" s="5">
        <f t="shared" si="2"/>
        <v>9.0589832895194586</v>
      </c>
      <c r="M16" s="5">
        <f t="shared" si="3"/>
        <v>9.5897979130430464</v>
      </c>
      <c r="N16" s="5">
        <f t="shared" si="4"/>
        <v>0.25730253015411009</v>
      </c>
      <c r="O16" s="5">
        <f t="shared" si="5"/>
        <v>0.27351209336947768</v>
      </c>
    </row>
    <row r="17" spans="1:15" ht="15.6" customHeight="1" x14ac:dyDescent="0.3">
      <c r="A17" s="3">
        <v>1</v>
      </c>
      <c r="B17" s="3">
        <v>200</v>
      </c>
      <c r="C17" s="3">
        <v>1000</v>
      </c>
      <c r="D17" s="4">
        <v>0.1</v>
      </c>
      <c r="E17" s="3">
        <v>19</v>
      </c>
      <c r="F17" s="4">
        <v>0</v>
      </c>
      <c r="G17" s="4">
        <v>72.489999999999995</v>
      </c>
      <c r="H17" s="4">
        <v>69.069999999999993</v>
      </c>
      <c r="I17" s="4"/>
      <c r="J17" s="4">
        <f t="shared" si="0"/>
        <v>2.1841851798782996</v>
      </c>
      <c r="K17" s="5">
        <f t="shared" si="1"/>
        <v>9.1787315063140866</v>
      </c>
      <c r="L17" s="5">
        <f t="shared" si="2"/>
        <v>8.929540360250984</v>
      </c>
      <c r="M17" s="5">
        <f t="shared" si="3"/>
        <v>9.4430958671916354</v>
      </c>
      <c r="N17" s="5">
        <f t="shared" si="4"/>
        <v>0.24919114606310266</v>
      </c>
      <c r="O17" s="5">
        <f t="shared" si="5"/>
        <v>0.26436436087754878</v>
      </c>
    </row>
    <row r="18" spans="1:15" ht="15.6" customHeight="1" x14ac:dyDescent="0.3">
      <c r="A18" s="3">
        <v>1</v>
      </c>
      <c r="B18" s="3">
        <v>200</v>
      </c>
      <c r="C18" s="3">
        <v>1000</v>
      </c>
      <c r="D18" s="4">
        <v>0.1</v>
      </c>
      <c r="E18" s="3">
        <v>20</v>
      </c>
      <c r="F18" s="4">
        <v>0</v>
      </c>
      <c r="G18" s="4">
        <v>73.430000000000007</v>
      </c>
      <c r="H18" s="4">
        <v>70.09</v>
      </c>
      <c r="I18" s="4"/>
      <c r="J18" s="4">
        <f t="shared" si="0"/>
        <v>2.2164404120120174</v>
      </c>
      <c r="K18" s="5">
        <f t="shared" si="1"/>
        <v>9.1227772217582892</v>
      </c>
      <c r="L18" s="5">
        <f t="shared" si="2"/>
        <v>8.8731556822247377</v>
      </c>
      <c r="M18" s="5">
        <f t="shared" si="3"/>
        <v>9.387626052723455</v>
      </c>
      <c r="N18" s="5">
        <f t="shared" si="4"/>
        <v>0.24962153953355148</v>
      </c>
      <c r="O18" s="5">
        <f t="shared" si="5"/>
        <v>0.26484883096516576</v>
      </c>
    </row>
    <row r="19" spans="1:15" ht="15.6" customHeight="1" x14ac:dyDescent="0.3">
      <c r="A19" s="13" t="s">
        <v>15</v>
      </c>
      <c r="B19" s="7"/>
      <c r="C19" s="7"/>
      <c r="D19" s="8"/>
      <c r="E19" s="7"/>
      <c r="F19" s="8"/>
      <c r="G19" s="8"/>
      <c r="H19" s="8"/>
      <c r="I19" s="8"/>
      <c r="J19" s="9"/>
      <c r="K19" s="10"/>
      <c r="L19" s="10"/>
      <c r="M19" s="10"/>
      <c r="N19" s="10"/>
      <c r="O19" s="10"/>
    </row>
    <row r="20" spans="1:15" ht="15.6" customHeight="1" x14ac:dyDescent="0.3">
      <c r="A20" s="3">
        <v>2</v>
      </c>
      <c r="B20" s="3">
        <v>200</v>
      </c>
      <c r="C20" s="3">
        <v>1000</v>
      </c>
      <c r="D20" s="4">
        <v>0.1</v>
      </c>
      <c r="E20" s="3">
        <v>5</v>
      </c>
      <c r="F20" s="4">
        <v>0</v>
      </c>
      <c r="G20" s="4">
        <v>178.1</v>
      </c>
      <c r="H20" s="4">
        <v>20.58</v>
      </c>
      <c r="I20" s="4"/>
      <c r="J20" s="4">
        <f t="shared" ref="J20:J35" si="6">H20/SQRT(C20)</f>
        <v>0.6507967424626524</v>
      </c>
      <c r="K20" s="5">
        <f t="shared" ref="K20:K35" si="7">-10*LOG10(G20/(B20*3))</f>
        <v>5.2748733092040014</v>
      </c>
      <c r="L20" s="5">
        <f t="shared" ref="L20:L35" si="8">-10*LOG10((G20+1.96*J20)/(B20*3))</f>
        <v>5.2438797655080469</v>
      </c>
      <c r="M20" s="5">
        <f t="shared" ref="M20:M35" si="9">-10*LOG10((G20-1.96*J20)/(B20*3))</f>
        <v>5.3060896299735516</v>
      </c>
      <c r="N20" s="5">
        <f t="shared" ref="N20:N35" si="10">K20-L20</f>
        <v>3.0993543695954529E-2</v>
      </c>
      <c r="O20" s="5">
        <f t="shared" ref="O20:O35" si="11">M20-K20</f>
        <v>3.1216320769550165E-2</v>
      </c>
    </row>
    <row r="21" spans="1:15" ht="15.6" customHeight="1" x14ac:dyDescent="0.3">
      <c r="A21" s="3">
        <v>2</v>
      </c>
      <c r="B21" s="3">
        <v>200</v>
      </c>
      <c r="C21" s="3">
        <v>1000</v>
      </c>
      <c r="D21" s="4">
        <v>0.1</v>
      </c>
      <c r="E21" s="3">
        <v>6</v>
      </c>
      <c r="F21" s="3">
        <v>0</v>
      </c>
      <c r="G21" s="4">
        <v>124.98</v>
      </c>
      <c r="H21" s="4">
        <v>20.16</v>
      </c>
      <c r="I21" s="4"/>
      <c r="J21" s="4">
        <f t="shared" si="6"/>
        <v>0.63751517628994525</v>
      </c>
      <c r="K21" s="5">
        <f t="shared" si="7"/>
        <v>6.8131073005225407</v>
      </c>
      <c r="L21" s="5">
        <f t="shared" si="8"/>
        <v>6.7699028608294736</v>
      </c>
      <c r="M21" s="5">
        <f t="shared" si="9"/>
        <v>6.8567458685931202</v>
      </c>
      <c r="N21" s="5">
        <f t="shared" si="10"/>
        <v>4.3204439693067087E-2</v>
      </c>
      <c r="O21" s="5">
        <f t="shared" si="11"/>
        <v>4.3638568070579531E-2</v>
      </c>
    </row>
    <row r="22" spans="1:15" ht="15.6" customHeight="1" x14ac:dyDescent="0.3">
      <c r="A22" s="3">
        <v>2</v>
      </c>
      <c r="B22" s="3">
        <v>200</v>
      </c>
      <c r="C22" s="3">
        <v>1000</v>
      </c>
      <c r="D22" s="4">
        <v>0.1</v>
      </c>
      <c r="E22" s="3">
        <v>7</v>
      </c>
      <c r="F22" s="4">
        <v>0</v>
      </c>
      <c r="G22" s="4">
        <v>93.93</v>
      </c>
      <c r="H22" s="4">
        <v>17.670000000000002</v>
      </c>
      <c r="I22" s="4"/>
      <c r="J22" s="4">
        <f t="shared" si="6"/>
        <v>0.55877446255175267</v>
      </c>
      <c r="K22" s="5">
        <f t="shared" si="7"/>
        <v>8.053469280470658</v>
      </c>
      <c r="L22" s="5">
        <f t="shared" si="8"/>
        <v>8.0031246743049991</v>
      </c>
      <c r="M22" s="5">
        <f t="shared" si="9"/>
        <v>8.1044043465667439</v>
      </c>
      <c r="N22" s="5">
        <f t="shared" si="10"/>
        <v>5.0344606165658945E-2</v>
      </c>
      <c r="O22" s="5">
        <f t="shared" si="11"/>
        <v>5.093506609608589E-2</v>
      </c>
    </row>
    <row r="23" spans="1:15" ht="15.6" customHeight="1" x14ac:dyDescent="0.3">
      <c r="A23" s="3">
        <v>2</v>
      </c>
      <c r="B23" s="3">
        <v>200</v>
      </c>
      <c r="C23" s="3">
        <v>1000</v>
      </c>
      <c r="D23" s="4">
        <v>0.1</v>
      </c>
      <c r="E23" s="3">
        <v>8</v>
      </c>
      <c r="F23" s="4">
        <v>0</v>
      </c>
      <c r="G23" s="4">
        <v>76.63</v>
      </c>
      <c r="H23" s="4">
        <v>16.05</v>
      </c>
      <c r="I23" s="4"/>
      <c r="J23" s="4">
        <f t="shared" si="6"/>
        <v>0.50754556445702492</v>
      </c>
      <c r="K23" s="5">
        <f t="shared" si="7"/>
        <v>8.9375242482695736</v>
      </c>
      <c r="L23" s="5">
        <f t="shared" si="8"/>
        <v>8.8815081598444898</v>
      </c>
      <c r="M23" s="5">
        <f t="shared" si="9"/>
        <v>8.9942722935349426</v>
      </c>
      <c r="N23" s="5">
        <f t="shared" si="10"/>
        <v>5.6016088425083765E-2</v>
      </c>
      <c r="O23" s="5">
        <f t="shared" si="11"/>
        <v>5.6748045265369029E-2</v>
      </c>
    </row>
    <row r="24" spans="1:15" ht="15.6" customHeight="1" x14ac:dyDescent="0.3">
      <c r="A24" s="3">
        <v>2</v>
      </c>
      <c r="B24" s="3">
        <v>200</v>
      </c>
      <c r="C24" s="3">
        <v>1000</v>
      </c>
      <c r="D24" s="4">
        <v>0.1</v>
      </c>
      <c r="E24" s="3">
        <v>9</v>
      </c>
      <c r="F24" s="4">
        <v>0</v>
      </c>
      <c r="G24" s="4">
        <v>65.430000000000007</v>
      </c>
      <c r="H24" s="4">
        <v>14.08</v>
      </c>
      <c r="I24" s="4"/>
      <c r="J24" s="4">
        <f t="shared" si="6"/>
        <v>0.44524869455170785</v>
      </c>
      <c r="K24" s="5">
        <f t="shared" si="7"/>
        <v>9.6237433008528086</v>
      </c>
      <c r="L24" s="5">
        <f t="shared" si="8"/>
        <v>9.5662011839995387</v>
      </c>
      <c r="M24" s="5">
        <f t="shared" si="9"/>
        <v>9.6820580743712163</v>
      </c>
      <c r="N24" s="5">
        <f t="shared" si="10"/>
        <v>5.7542116853269931E-2</v>
      </c>
      <c r="O24" s="5">
        <f t="shared" si="11"/>
        <v>5.8314773518407748E-2</v>
      </c>
    </row>
    <row r="25" spans="1:15" ht="15.6" customHeight="1" x14ac:dyDescent="0.3">
      <c r="A25" s="3">
        <v>2</v>
      </c>
      <c r="B25" s="3">
        <v>200</v>
      </c>
      <c r="C25" s="3">
        <v>1000</v>
      </c>
      <c r="D25" s="4">
        <v>0.1</v>
      </c>
      <c r="E25" s="3">
        <v>10</v>
      </c>
      <c r="F25" s="4">
        <v>0</v>
      </c>
      <c r="G25" s="4">
        <v>57.34</v>
      </c>
      <c r="H25" s="4">
        <v>12.98</v>
      </c>
      <c r="I25" s="4"/>
      <c r="J25" s="4">
        <f t="shared" si="6"/>
        <v>0.41046364028985566</v>
      </c>
      <c r="K25" s="5">
        <f t="shared" si="7"/>
        <v>10.196935617731778</v>
      </c>
      <c r="L25" s="5">
        <f t="shared" si="8"/>
        <v>10.136425448825808</v>
      </c>
      <c r="M25" s="5">
        <f t="shared" si="9"/>
        <v>10.258300800609783</v>
      </c>
      <c r="N25" s="5">
        <f t="shared" si="10"/>
        <v>6.0510168905970829E-2</v>
      </c>
      <c r="O25" s="5">
        <f t="shared" si="11"/>
        <v>6.1365182878004632E-2</v>
      </c>
    </row>
    <row r="26" spans="1:15" ht="15.6" customHeight="1" x14ac:dyDescent="0.3">
      <c r="A26" s="3">
        <v>2</v>
      </c>
      <c r="B26" s="3">
        <v>200</v>
      </c>
      <c r="C26" s="3">
        <v>1000</v>
      </c>
      <c r="D26" s="4">
        <v>0.1</v>
      </c>
      <c r="E26" s="3">
        <v>11</v>
      </c>
      <c r="F26" s="4">
        <v>0</v>
      </c>
      <c r="G26" s="4">
        <v>54.46</v>
      </c>
      <c r="H26" s="4">
        <v>14.78</v>
      </c>
      <c r="I26" s="4"/>
      <c r="J26" s="4">
        <f t="shared" si="6"/>
        <v>0.46738463817288645</v>
      </c>
      <c r="K26" s="5">
        <f t="shared" si="7"/>
        <v>10.420736133796979</v>
      </c>
      <c r="L26" s="5">
        <f t="shared" si="8"/>
        <v>10.348290889342866</v>
      </c>
      <c r="M26" s="5">
        <f t="shared" si="9"/>
        <v>10.494410377158003</v>
      </c>
      <c r="N26" s="5">
        <f t="shared" si="10"/>
        <v>7.2445244454112157E-2</v>
      </c>
      <c r="O26" s="5">
        <f t="shared" si="11"/>
        <v>7.3674243361024239E-2</v>
      </c>
    </row>
    <row r="27" spans="1:15" ht="15.6" customHeight="1" x14ac:dyDescent="0.3">
      <c r="A27" s="3">
        <v>2</v>
      </c>
      <c r="B27" s="3">
        <v>200</v>
      </c>
      <c r="C27" s="3">
        <v>1000</v>
      </c>
      <c r="D27" s="4">
        <v>0.1</v>
      </c>
      <c r="E27" s="3">
        <v>12</v>
      </c>
      <c r="F27" s="4">
        <v>0</v>
      </c>
      <c r="G27" s="4">
        <v>50.24</v>
      </c>
      <c r="H27" s="4">
        <v>12.41</v>
      </c>
      <c r="I27" s="4"/>
      <c r="J27" s="4">
        <f t="shared" si="6"/>
        <v>0.39243865762689589</v>
      </c>
      <c r="K27" s="5">
        <f t="shared" si="7"/>
        <v>10.771016196545038</v>
      </c>
      <c r="L27" s="5">
        <f t="shared" si="8"/>
        <v>10.705029102808723</v>
      </c>
      <c r="M27" s="5">
        <f t="shared" si="9"/>
        <v>10.838021393146647</v>
      </c>
      <c r="N27" s="5">
        <f t="shared" si="10"/>
        <v>6.5987093736314506E-2</v>
      </c>
      <c r="O27" s="5">
        <f t="shared" si="11"/>
        <v>6.700519660160964E-2</v>
      </c>
    </row>
    <row r="28" spans="1:15" ht="15.6" customHeight="1" x14ac:dyDescent="0.3">
      <c r="A28" s="3">
        <v>2</v>
      </c>
      <c r="B28" s="3">
        <v>200</v>
      </c>
      <c r="C28" s="3">
        <v>1000</v>
      </c>
      <c r="D28" s="4">
        <v>0.1</v>
      </c>
      <c r="E28" s="3">
        <v>13</v>
      </c>
      <c r="F28" s="3">
        <v>0</v>
      </c>
      <c r="G28" s="4">
        <v>47.66</v>
      </c>
      <c r="H28" s="4">
        <v>13.77</v>
      </c>
      <c r="I28" s="4"/>
      <c r="J28" s="4">
        <f t="shared" si="6"/>
        <v>0.43544563380518581</v>
      </c>
      <c r="K28" s="5">
        <f t="shared" si="7"/>
        <v>10.999972123732062</v>
      </c>
      <c r="L28" s="5">
        <f t="shared" si="8"/>
        <v>10.922888802555731</v>
      </c>
      <c r="M28" s="5">
        <f t="shared" si="9"/>
        <v>11.078448364037381</v>
      </c>
      <c r="N28" s="5">
        <f t="shared" si="10"/>
        <v>7.7083321176331765E-2</v>
      </c>
      <c r="O28" s="5">
        <f t="shared" si="11"/>
        <v>7.8476240305318967E-2</v>
      </c>
    </row>
    <row r="29" spans="1:15" ht="15.6" customHeight="1" x14ac:dyDescent="0.3">
      <c r="A29" s="3">
        <v>2</v>
      </c>
      <c r="B29" s="3">
        <v>200</v>
      </c>
      <c r="C29" s="3">
        <v>1000</v>
      </c>
      <c r="D29" s="4">
        <v>0.1</v>
      </c>
      <c r="E29" s="3">
        <v>14</v>
      </c>
      <c r="F29" s="4">
        <v>0</v>
      </c>
      <c r="G29" s="4">
        <v>45.03</v>
      </c>
      <c r="H29" s="4">
        <v>13.8</v>
      </c>
      <c r="I29" s="4"/>
      <c r="J29" s="4">
        <f t="shared" si="6"/>
        <v>0.4363943171032364</v>
      </c>
      <c r="K29" s="5">
        <f t="shared" si="7"/>
        <v>11.246493034207107</v>
      </c>
      <c r="L29" s="5">
        <f t="shared" si="8"/>
        <v>11.164773638714943</v>
      </c>
      <c r="M29" s="5">
        <f t="shared" si="9"/>
        <v>11.329779646545767</v>
      </c>
      <c r="N29" s="5">
        <f t="shared" si="10"/>
        <v>8.1719395492164892E-2</v>
      </c>
      <c r="O29" s="5">
        <f t="shared" si="11"/>
        <v>8.3286612338659083E-2</v>
      </c>
    </row>
    <row r="30" spans="1:15" ht="15.6" customHeight="1" x14ac:dyDescent="0.3">
      <c r="A30" s="3">
        <v>2</v>
      </c>
      <c r="B30" s="3">
        <v>200</v>
      </c>
      <c r="C30" s="3">
        <v>1000</v>
      </c>
      <c r="D30" s="4">
        <v>0.1</v>
      </c>
      <c r="E30" s="3">
        <v>15</v>
      </c>
      <c r="F30" s="3">
        <v>0</v>
      </c>
      <c r="G30" s="4">
        <v>42.91</v>
      </c>
      <c r="H30" s="4">
        <v>10.94</v>
      </c>
      <c r="I30" s="4"/>
      <c r="J30" s="4">
        <f t="shared" si="6"/>
        <v>0.34595317602242071</v>
      </c>
      <c r="K30" s="5">
        <f t="shared" si="7"/>
        <v>11.455927358509719</v>
      </c>
      <c r="L30" s="5">
        <f t="shared" si="8"/>
        <v>11.387836283907742</v>
      </c>
      <c r="M30" s="5">
        <f t="shared" si="9"/>
        <v>11.525103029858988</v>
      </c>
      <c r="N30" s="5">
        <f t="shared" si="10"/>
        <v>6.8091074601976942E-2</v>
      </c>
      <c r="O30" s="5">
        <f t="shared" si="11"/>
        <v>6.9175671349269052E-2</v>
      </c>
    </row>
    <row r="31" spans="1:15" ht="15.6" customHeight="1" x14ac:dyDescent="0.3">
      <c r="A31" s="3">
        <v>2</v>
      </c>
      <c r="B31" s="3">
        <v>200</v>
      </c>
      <c r="C31" s="3">
        <v>1000</v>
      </c>
      <c r="D31" s="4">
        <v>0.1</v>
      </c>
      <c r="E31" s="3">
        <v>16</v>
      </c>
      <c r="F31" s="3">
        <v>0</v>
      </c>
      <c r="G31" s="4">
        <v>41.43</v>
      </c>
      <c r="H31" s="4">
        <v>15.23</v>
      </c>
      <c r="I31" s="4"/>
      <c r="J31" s="4">
        <f t="shared" si="6"/>
        <v>0.48161488764364419</v>
      </c>
      <c r="K31" s="5">
        <f t="shared" si="7"/>
        <v>11.608363170853499</v>
      </c>
      <c r="L31" s="5">
        <f t="shared" si="8"/>
        <v>11.510521450060915</v>
      </c>
      <c r="M31" s="5">
        <f t="shared" si="9"/>
        <v>11.708460060929955</v>
      </c>
      <c r="N31" s="5">
        <f t="shared" si="10"/>
        <v>9.7841720792583686E-2</v>
      </c>
      <c r="O31" s="5">
        <f t="shared" si="11"/>
        <v>0.10009689007645584</v>
      </c>
    </row>
    <row r="32" spans="1:15" ht="15.6" customHeight="1" x14ac:dyDescent="0.3">
      <c r="A32" s="3">
        <v>2</v>
      </c>
      <c r="B32" s="3">
        <v>200</v>
      </c>
      <c r="C32" s="3">
        <v>1000</v>
      </c>
      <c r="D32" s="4">
        <v>0.1</v>
      </c>
      <c r="E32" s="3">
        <v>17</v>
      </c>
      <c r="F32" s="4">
        <v>0</v>
      </c>
      <c r="G32" s="4">
        <v>36.96</v>
      </c>
      <c r="H32" s="4">
        <v>10.83</v>
      </c>
      <c r="I32" s="4"/>
      <c r="J32" s="4">
        <f t="shared" si="6"/>
        <v>0.34247467059623549</v>
      </c>
      <c r="K32" s="5">
        <f t="shared" si="7"/>
        <v>12.104192878355747</v>
      </c>
      <c r="L32" s="5">
        <f t="shared" si="8"/>
        <v>12.026026017427254</v>
      </c>
      <c r="M32" s="5">
        <f t="shared" si="9"/>
        <v>12.183792458468432</v>
      </c>
      <c r="N32" s="5">
        <f t="shared" si="10"/>
        <v>7.8166860928492454E-2</v>
      </c>
      <c r="O32" s="5">
        <f t="shared" si="11"/>
        <v>7.9599580112684976E-2</v>
      </c>
    </row>
    <row r="33" spans="1:15" ht="15.6" customHeight="1" x14ac:dyDescent="0.3">
      <c r="A33" s="3">
        <v>2</v>
      </c>
      <c r="B33" s="3">
        <v>200</v>
      </c>
      <c r="C33" s="3">
        <v>1000</v>
      </c>
      <c r="D33" s="4">
        <v>0.1</v>
      </c>
      <c r="E33" s="3">
        <v>18</v>
      </c>
      <c r="F33" s="4">
        <v>0</v>
      </c>
      <c r="G33" s="4">
        <v>35.159999999999997</v>
      </c>
      <c r="H33" s="4">
        <v>13.25</v>
      </c>
      <c r="I33" s="4"/>
      <c r="J33" s="4">
        <f t="shared" si="6"/>
        <v>0.41900178997231025</v>
      </c>
      <c r="K33" s="5">
        <f t="shared" si="7"/>
        <v>12.321023839819095</v>
      </c>
      <c r="L33" s="5">
        <f t="shared" si="8"/>
        <v>12.22075081938852</v>
      </c>
      <c r="M33" s="5">
        <f t="shared" si="9"/>
        <v>12.423666863668712</v>
      </c>
      <c r="N33" s="5">
        <f t="shared" si="10"/>
        <v>0.10027302043057418</v>
      </c>
      <c r="O33" s="5">
        <f t="shared" si="11"/>
        <v>0.10264302384961788</v>
      </c>
    </row>
    <row r="34" spans="1:15" ht="15.6" customHeight="1" x14ac:dyDescent="0.3">
      <c r="A34" s="3">
        <v>2</v>
      </c>
      <c r="B34" s="3">
        <v>200</v>
      </c>
      <c r="C34" s="3">
        <v>1000</v>
      </c>
      <c r="D34" s="4">
        <v>0.1</v>
      </c>
      <c r="E34" s="3">
        <v>19</v>
      </c>
      <c r="F34" s="4">
        <v>0</v>
      </c>
      <c r="G34" s="4">
        <v>35.340000000000003</v>
      </c>
      <c r="H34" s="4">
        <v>13.63</v>
      </c>
      <c r="I34" s="4"/>
      <c r="J34" s="4">
        <f t="shared" si="6"/>
        <v>0.43101844508095016</v>
      </c>
      <c r="K34" s="5">
        <f t="shared" si="7"/>
        <v>12.298847052128982</v>
      </c>
      <c r="L34" s="5">
        <f t="shared" si="8"/>
        <v>12.196251200197514</v>
      </c>
      <c r="M34" s="5">
        <f t="shared" si="9"/>
        <v>12.403925346524376</v>
      </c>
      <c r="N34" s="5">
        <f t="shared" si="10"/>
        <v>0.10259585193146847</v>
      </c>
      <c r="O34" s="5">
        <f t="shared" si="11"/>
        <v>0.10507829439539407</v>
      </c>
    </row>
    <row r="35" spans="1:15" ht="15.6" customHeight="1" x14ac:dyDescent="0.3">
      <c r="A35" s="3">
        <v>2</v>
      </c>
      <c r="B35" s="3">
        <v>200</v>
      </c>
      <c r="C35" s="3">
        <v>1000</v>
      </c>
      <c r="D35" s="4">
        <v>0.1</v>
      </c>
      <c r="E35" s="3">
        <v>20</v>
      </c>
      <c r="F35" s="4">
        <v>0</v>
      </c>
      <c r="G35" s="4">
        <v>33.71</v>
      </c>
      <c r="H35" s="4">
        <v>10.119999999999999</v>
      </c>
      <c r="I35" s="4"/>
      <c r="J35" s="4">
        <f t="shared" si="6"/>
        <v>0.32002249920903997</v>
      </c>
      <c r="K35" s="5">
        <f t="shared" si="7"/>
        <v>12.503924978626717</v>
      </c>
      <c r="L35" s="5">
        <f t="shared" si="8"/>
        <v>12.423858145635531</v>
      </c>
      <c r="M35" s="5">
        <f t="shared" si="9"/>
        <v>12.585495698482717</v>
      </c>
      <c r="N35" s="5">
        <f t="shared" si="10"/>
        <v>8.0066832991185777E-2</v>
      </c>
      <c r="O35" s="5">
        <f t="shared" si="11"/>
        <v>8.157071985599984E-2</v>
      </c>
    </row>
    <row r="36" spans="1:15" ht="15.6" customHeight="1" x14ac:dyDescent="0.3">
      <c r="A36" s="13" t="s">
        <v>16</v>
      </c>
      <c r="B36" s="7"/>
      <c r="C36" s="7"/>
      <c r="D36" s="8"/>
      <c r="E36" s="7"/>
      <c r="F36" s="8"/>
      <c r="G36" s="8"/>
      <c r="H36" s="8"/>
      <c r="I36" s="8"/>
      <c r="J36" s="9"/>
      <c r="K36" s="10"/>
      <c r="L36" s="10"/>
      <c r="M36" s="10"/>
      <c r="N36" s="10"/>
      <c r="O36" s="10"/>
    </row>
    <row r="37" spans="1:15" ht="15.6" customHeight="1" x14ac:dyDescent="0.3">
      <c r="A37" s="1">
        <v>3</v>
      </c>
      <c r="B37" s="1">
        <v>200</v>
      </c>
      <c r="C37" s="1">
        <v>1000</v>
      </c>
      <c r="D37" s="2">
        <v>0.1</v>
      </c>
      <c r="E37" s="1">
        <v>5</v>
      </c>
      <c r="F37" s="2">
        <v>0</v>
      </c>
      <c r="G37" s="2">
        <v>176.11</v>
      </c>
      <c r="H37" s="2">
        <v>23.33</v>
      </c>
      <c r="J37" s="4">
        <f t="shared" ref="J37:J52" si="12">H37/SQRT(C37)</f>
        <v>0.73775937811728287</v>
      </c>
      <c r="K37" s="5">
        <f t="shared" ref="K37:K52" si="13">-10*LOG10(G37/(B37*3))</f>
        <v>5.3236723330611877</v>
      </c>
      <c r="L37" s="5">
        <f t="shared" ref="L37:L52" si="14">-10*LOG10((G37+1.96*J37)/(B37*3))</f>
        <v>5.2881587725144232</v>
      </c>
      <c r="M37" s="5">
        <f t="shared" ref="M37:M52" si="15">-10*LOG10((G37-1.96*J37)/(B37*3))</f>
        <v>5.3594786945956718</v>
      </c>
      <c r="N37" s="5">
        <f t="shared" ref="N37:N52" si="16">K37-L37</f>
        <v>3.5513560546764467E-2</v>
      </c>
      <c r="O37" s="5">
        <f t="shared" ref="O37:O52" si="17">M37-K37</f>
        <v>3.5806361534484132E-2</v>
      </c>
    </row>
    <row r="38" spans="1:15" ht="15.6" customHeight="1" x14ac:dyDescent="0.3">
      <c r="A38" s="1">
        <v>3</v>
      </c>
      <c r="B38" s="1">
        <v>200</v>
      </c>
      <c r="C38" s="1">
        <v>1000</v>
      </c>
      <c r="D38" s="2">
        <v>0.1</v>
      </c>
      <c r="E38" s="1">
        <v>6</v>
      </c>
      <c r="F38" s="2">
        <v>0</v>
      </c>
      <c r="G38" s="2">
        <v>127.68</v>
      </c>
      <c r="H38" s="2">
        <v>20.260000000000002</v>
      </c>
      <c r="J38" s="4">
        <f t="shared" si="12"/>
        <v>0.64067745395011366</v>
      </c>
      <c r="K38" s="5">
        <f t="shared" si="13"/>
        <v>6.7202837637698938</v>
      </c>
      <c r="L38" s="5">
        <f t="shared" si="14"/>
        <v>6.6777797429754946</v>
      </c>
      <c r="M38" s="5">
        <f t="shared" si="15"/>
        <v>6.7632078825438091</v>
      </c>
      <c r="N38" s="5">
        <f t="shared" si="16"/>
        <v>4.2504020794399189E-2</v>
      </c>
      <c r="O38" s="5">
        <f t="shared" si="17"/>
        <v>4.2924118773915332E-2</v>
      </c>
    </row>
    <row r="39" spans="1:15" ht="15.6" customHeight="1" x14ac:dyDescent="0.3">
      <c r="A39" s="1">
        <v>3</v>
      </c>
      <c r="B39" s="1">
        <v>200</v>
      </c>
      <c r="C39" s="1">
        <v>1000</v>
      </c>
      <c r="D39" s="2">
        <v>0.1</v>
      </c>
      <c r="E39" s="1">
        <v>7</v>
      </c>
      <c r="F39" s="2">
        <v>0</v>
      </c>
      <c r="G39" s="2">
        <v>100.78</v>
      </c>
      <c r="H39" s="2">
        <v>18.61</v>
      </c>
      <c r="J39" s="4">
        <f t="shared" si="12"/>
        <v>0.58849987255733538</v>
      </c>
      <c r="K39" s="5">
        <f t="shared" si="13"/>
        <v>7.7477689636389364</v>
      </c>
      <c r="L39" s="5">
        <f t="shared" si="14"/>
        <v>7.6983448541890525</v>
      </c>
      <c r="M39" s="5">
        <f t="shared" si="15"/>
        <v>7.7977620163254731</v>
      </c>
      <c r="N39" s="5">
        <f t="shared" si="16"/>
        <v>4.9424109449883957E-2</v>
      </c>
      <c r="O39" s="5">
        <f t="shared" si="17"/>
        <v>4.9993052686536643E-2</v>
      </c>
    </row>
    <row r="40" spans="1:15" ht="15.6" customHeight="1" x14ac:dyDescent="0.3">
      <c r="A40" s="1">
        <v>3</v>
      </c>
      <c r="B40" s="1">
        <v>200</v>
      </c>
      <c r="C40" s="1">
        <v>1000</v>
      </c>
      <c r="D40" s="2">
        <v>0.1</v>
      </c>
      <c r="E40" s="1">
        <v>8</v>
      </c>
      <c r="F40" s="2">
        <v>0</v>
      </c>
      <c r="G40" s="2">
        <v>85.02</v>
      </c>
      <c r="H40" s="2">
        <v>17.55</v>
      </c>
      <c r="J40" s="4">
        <f t="shared" si="12"/>
        <v>0.55497972935955064</v>
      </c>
      <c r="K40" s="5">
        <f t="shared" si="13"/>
        <v>8.4863014975253961</v>
      </c>
      <c r="L40" s="5">
        <f t="shared" si="14"/>
        <v>8.4310895734614437</v>
      </c>
      <c r="M40" s="5">
        <f t="shared" si="15"/>
        <v>8.542224379747049</v>
      </c>
      <c r="N40" s="5">
        <f t="shared" si="16"/>
        <v>5.5211924063952367E-2</v>
      </c>
      <c r="O40" s="5">
        <f t="shared" si="17"/>
        <v>5.592288222165287E-2</v>
      </c>
    </row>
    <row r="41" spans="1:15" ht="15.6" customHeight="1" x14ac:dyDescent="0.3">
      <c r="A41" s="1">
        <v>3</v>
      </c>
      <c r="B41" s="1">
        <v>200</v>
      </c>
      <c r="C41" s="1">
        <v>1000</v>
      </c>
      <c r="D41" s="2">
        <v>0.1</v>
      </c>
      <c r="E41" s="1">
        <v>9</v>
      </c>
      <c r="F41" s="2">
        <v>0</v>
      </c>
      <c r="G41" s="2">
        <v>73.39</v>
      </c>
      <c r="H41" s="2">
        <v>15.22</v>
      </c>
      <c r="J41" s="4">
        <f t="shared" si="12"/>
        <v>0.48129865987762738</v>
      </c>
      <c r="K41" s="5">
        <f t="shared" si="13"/>
        <v>9.1251436268401491</v>
      </c>
      <c r="L41" s="5">
        <f t="shared" si="14"/>
        <v>9.0696757171097335</v>
      </c>
      <c r="M41" s="5">
        <f t="shared" si="15"/>
        <v>9.1813291455484212</v>
      </c>
      <c r="N41" s="5">
        <f t="shared" si="16"/>
        <v>5.5467909730415599E-2</v>
      </c>
      <c r="O41" s="5">
        <f t="shared" si="17"/>
        <v>5.6185518708272042E-2</v>
      </c>
    </row>
    <row r="42" spans="1:15" ht="15.6" customHeight="1" x14ac:dyDescent="0.3">
      <c r="A42" s="1">
        <v>3</v>
      </c>
      <c r="B42" s="1">
        <v>200</v>
      </c>
      <c r="C42" s="1">
        <v>1000</v>
      </c>
      <c r="D42" s="2">
        <v>0.1</v>
      </c>
      <c r="E42" s="1">
        <v>10</v>
      </c>
      <c r="F42" s="2">
        <v>0</v>
      </c>
      <c r="G42" s="2">
        <v>66.27</v>
      </c>
      <c r="H42" s="2">
        <v>14.78</v>
      </c>
      <c r="J42" s="4">
        <f t="shared" si="12"/>
        <v>0.46738463817288645</v>
      </c>
      <c r="K42" s="5">
        <f t="shared" si="13"/>
        <v>9.5683427979254638</v>
      </c>
      <c r="L42" s="5">
        <f t="shared" si="14"/>
        <v>9.50871987138399</v>
      </c>
      <c r="M42" s="5">
        <f t="shared" si="15"/>
        <v>9.6287956762797595</v>
      </c>
      <c r="N42" s="5">
        <f t="shared" si="16"/>
        <v>5.9622926541473831E-2</v>
      </c>
      <c r="O42" s="5">
        <f t="shared" si="17"/>
        <v>6.0452878354295692E-2</v>
      </c>
    </row>
    <row r="43" spans="1:15" ht="15.6" customHeight="1" x14ac:dyDescent="0.3">
      <c r="A43" s="1">
        <v>3</v>
      </c>
      <c r="B43" s="1">
        <v>200</v>
      </c>
      <c r="C43" s="1">
        <v>1000</v>
      </c>
      <c r="D43" s="2">
        <v>0.1</v>
      </c>
      <c r="E43" s="1">
        <v>11</v>
      </c>
      <c r="F43" s="2">
        <v>0</v>
      </c>
      <c r="G43" s="2">
        <v>61.89</v>
      </c>
      <c r="H43" s="2">
        <v>14.96</v>
      </c>
      <c r="J43" s="4">
        <f t="shared" si="12"/>
        <v>0.4730767379611896</v>
      </c>
      <c r="K43" s="5">
        <f t="shared" si="13"/>
        <v>9.8653076769082961</v>
      </c>
      <c r="L43" s="5">
        <f t="shared" si="14"/>
        <v>9.8007246581767902</v>
      </c>
      <c r="M43" s="5">
        <f t="shared" si="15"/>
        <v>9.9308656121396162</v>
      </c>
      <c r="N43" s="5">
        <f t="shared" si="16"/>
        <v>6.4583018731505959E-2</v>
      </c>
      <c r="O43" s="5">
        <f t="shared" si="17"/>
        <v>6.555793523132003E-2</v>
      </c>
    </row>
    <row r="44" spans="1:15" ht="15.6" customHeight="1" x14ac:dyDescent="0.3">
      <c r="A44" s="1">
        <v>3</v>
      </c>
      <c r="B44" s="1">
        <v>200</v>
      </c>
      <c r="C44" s="1">
        <v>1000</v>
      </c>
      <c r="D44" s="2">
        <v>0.1</v>
      </c>
      <c r="E44" s="1">
        <v>12</v>
      </c>
      <c r="F44" s="2">
        <v>0</v>
      </c>
      <c r="G44" s="2">
        <v>56.35</v>
      </c>
      <c r="H44" s="2">
        <v>12.94</v>
      </c>
      <c r="J44" s="4">
        <f t="shared" si="12"/>
        <v>0.40919872922578826</v>
      </c>
      <c r="K44" s="5">
        <f t="shared" si="13"/>
        <v>10.272573300015182</v>
      </c>
      <c r="L44" s="5">
        <f t="shared" si="14"/>
        <v>10.211195932720711</v>
      </c>
      <c r="M44" s="5">
        <f t="shared" si="15"/>
        <v>10.334830542675808</v>
      </c>
      <c r="N44" s="5">
        <f t="shared" si="16"/>
        <v>6.1377367294470631E-2</v>
      </c>
      <c r="O44" s="5">
        <f t="shared" si="17"/>
        <v>6.2257242660626488E-2</v>
      </c>
    </row>
    <row r="45" spans="1:15" ht="15.6" customHeight="1" x14ac:dyDescent="0.3">
      <c r="A45" s="1">
        <v>3</v>
      </c>
      <c r="B45" s="1">
        <v>200</v>
      </c>
      <c r="C45" s="1">
        <v>1000</v>
      </c>
      <c r="D45" s="2">
        <v>0.1</v>
      </c>
      <c r="E45" s="1">
        <v>13</v>
      </c>
      <c r="F45" s="2">
        <v>0</v>
      </c>
      <c r="G45" s="2">
        <v>53.85</v>
      </c>
      <c r="H45" s="2">
        <v>13.83</v>
      </c>
      <c r="J45" s="4">
        <f t="shared" si="12"/>
        <v>0.43734300040128687</v>
      </c>
      <c r="K45" s="5">
        <f t="shared" si="13"/>
        <v>10.469655427496431</v>
      </c>
      <c r="L45" s="5">
        <f t="shared" si="14"/>
        <v>10.401068241868991</v>
      </c>
      <c r="M45" s="5">
        <f t="shared" si="15"/>
        <v>10.539343200246748</v>
      </c>
      <c r="N45" s="5">
        <f t="shared" si="16"/>
        <v>6.8587185627439595E-2</v>
      </c>
      <c r="O45" s="5">
        <f t="shared" si="17"/>
        <v>6.9687772750317123E-2</v>
      </c>
    </row>
    <row r="46" spans="1:15" ht="15.6" customHeight="1" x14ac:dyDescent="0.3">
      <c r="A46" s="1">
        <v>3</v>
      </c>
      <c r="B46" s="1">
        <v>200</v>
      </c>
      <c r="C46" s="1">
        <v>1000</v>
      </c>
      <c r="D46" s="2">
        <v>0.1</v>
      </c>
      <c r="E46" s="1">
        <v>14</v>
      </c>
      <c r="F46" s="2">
        <v>0</v>
      </c>
      <c r="G46" s="2">
        <v>49.62</v>
      </c>
      <c r="H46" s="2">
        <v>12.05</v>
      </c>
      <c r="J46" s="4">
        <f t="shared" si="12"/>
        <v>0.38105445805028976</v>
      </c>
      <c r="K46" s="5">
        <f t="shared" si="13"/>
        <v>10.824944904474535</v>
      </c>
      <c r="L46" s="5">
        <f t="shared" si="14"/>
        <v>10.760063156231695</v>
      </c>
      <c r="M46" s="5">
        <f t="shared" si="15"/>
        <v>10.890810677935114</v>
      </c>
      <c r="N46" s="5">
        <f t="shared" si="16"/>
        <v>6.4881748242839876E-2</v>
      </c>
      <c r="O46" s="5">
        <f t="shared" si="17"/>
        <v>6.5865773460579646E-2</v>
      </c>
    </row>
    <row r="47" spans="1:15" ht="15.6" customHeight="1" x14ac:dyDescent="0.3">
      <c r="A47" s="1">
        <v>3</v>
      </c>
      <c r="B47" s="1">
        <v>200</v>
      </c>
      <c r="C47" s="1">
        <v>1000</v>
      </c>
      <c r="D47" s="2">
        <v>0.1</v>
      </c>
      <c r="E47" s="1">
        <v>15</v>
      </c>
      <c r="F47" s="2">
        <v>0</v>
      </c>
      <c r="G47" s="2">
        <v>47.49</v>
      </c>
      <c r="H47" s="2">
        <v>11.95</v>
      </c>
      <c r="J47" s="4">
        <f t="shared" si="12"/>
        <v>0.37789218039012129</v>
      </c>
      <c r="K47" s="5">
        <f t="shared" si="13"/>
        <v>11.015490808016253</v>
      </c>
      <c r="L47" s="5">
        <f t="shared" si="14"/>
        <v>10.948279673291417</v>
      </c>
      <c r="M47" s="5">
        <f t="shared" si="15"/>
        <v>11.083758470107469</v>
      </c>
      <c r="N47" s="5">
        <f t="shared" si="16"/>
        <v>6.7211134724836086E-2</v>
      </c>
      <c r="O47" s="5">
        <f t="shared" si="17"/>
        <v>6.8267662091216152E-2</v>
      </c>
    </row>
    <row r="48" spans="1:15" ht="15.6" customHeight="1" x14ac:dyDescent="0.3">
      <c r="A48" s="1">
        <v>3</v>
      </c>
      <c r="B48" s="1">
        <v>200</v>
      </c>
      <c r="C48" s="1">
        <v>1000</v>
      </c>
      <c r="D48" s="2">
        <v>0.1</v>
      </c>
      <c r="E48" s="1">
        <v>16</v>
      </c>
      <c r="F48" s="2">
        <v>0</v>
      </c>
      <c r="G48" s="2">
        <v>44.85</v>
      </c>
      <c r="H48" s="2">
        <v>11.52</v>
      </c>
      <c r="J48" s="4">
        <f t="shared" si="12"/>
        <v>0.36429438645139728</v>
      </c>
      <c r="K48" s="5">
        <f t="shared" si="13"/>
        <v>11.263888030035327</v>
      </c>
      <c r="L48" s="5">
        <f t="shared" si="14"/>
        <v>11.195292451846537</v>
      </c>
      <c r="M48" s="5">
        <f t="shared" si="15"/>
        <v>11.333584466874012</v>
      </c>
      <c r="N48" s="5">
        <f t="shared" si="16"/>
        <v>6.8595578188789474E-2</v>
      </c>
      <c r="O48" s="5">
        <f t="shared" si="17"/>
        <v>6.9696436838684761E-2</v>
      </c>
    </row>
    <row r="49" spans="1:15" ht="15.6" customHeight="1" x14ac:dyDescent="0.3">
      <c r="A49" s="1">
        <v>3</v>
      </c>
      <c r="B49" s="1">
        <v>200</v>
      </c>
      <c r="C49" s="1">
        <v>1000</v>
      </c>
      <c r="D49" s="2">
        <v>0.1</v>
      </c>
      <c r="E49" s="1">
        <v>17</v>
      </c>
      <c r="F49" s="2">
        <v>0</v>
      </c>
      <c r="G49" s="2">
        <v>41.33</v>
      </c>
      <c r="H49" s="2">
        <v>11.78</v>
      </c>
      <c r="J49" s="4">
        <f t="shared" si="12"/>
        <v>0.37251630836783506</v>
      </c>
      <c r="K49" s="5">
        <f t="shared" si="13"/>
        <v>11.618858451019356</v>
      </c>
      <c r="L49" s="5">
        <f t="shared" si="14"/>
        <v>11.542806194246577</v>
      </c>
      <c r="M49" s="5">
        <f t="shared" si="15"/>
        <v>11.696266284198556</v>
      </c>
      <c r="N49" s="5">
        <f t="shared" si="16"/>
        <v>7.6052256772779714E-2</v>
      </c>
      <c r="O49" s="5">
        <f t="shared" si="17"/>
        <v>7.7407833179199415E-2</v>
      </c>
    </row>
    <row r="50" spans="1:15" ht="15.6" customHeight="1" x14ac:dyDescent="0.3">
      <c r="A50" s="1">
        <v>3</v>
      </c>
      <c r="B50" s="1">
        <v>200</v>
      </c>
      <c r="C50" s="1">
        <v>1000</v>
      </c>
      <c r="D50" s="2">
        <v>0.1</v>
      </c>
      <c r="E50" s="1">
        <v>18</v>
      </c>
      <c r="F50" s="2">
        <v>0</v>
      </c>
      <c r="G50" s="2">
        <v>38.659999999999997</v>
      </c>
      <c r="H50" s="2">
        <v>11.14</v>
      </c>
      <c r="J50" s="4">
        <f t="shared" si="12"/>
        <v>0.35227773134275747</v>
      </c>
      <c r="K50" s="5">
        <f t="shared" si="13"/>
        <v>11.908894006911094</v>
      </c>
      <c r="L50" s="5">
        <f t="shared" si="14"/>
        <v>11.832013887853023</v>
      </c>
      <c r="M50" s="5">
        <f t="shared" si="15"/>
        <v>11.987159644728756</v>
      </c>
      <c r="N50" s="5">
        <f t="shared" si="16"/>
        <v>7.6880119058071017E-2</v>
      </c>
      <c r="O50" s="5">
        <f t="shared" si="17"/>
        <v>7.8265637817661826E-2</v>
      </c>
    </row>
    <row r="51" spans="1:15" ht="15.6" customHeight="1" x14ac:dyDescent="0.3">
      <c r="A51" s="1">
        <v>3</v>
      </c>
      <c r="B51" s="1">
        <v>200</v>
      </c>
      <c r="C51" s="1">
        <v>1000</v>
      </c>
      <c r="D51" s="2">
        <v>0.1</v>
      </c>
      <c r="E51" s="1">
        <v>19</v>
      </c>
      <c r="F51" s="2">
        <v>0</v>
      </c>
      <c r="G51" s="2">
        <v>37.9</v>
      </c>
      <c r="H51" s="2">
        <v>10.84</v>
      </c>
      <c r="J51" s="4">
        <f t="shared" si="12"/>
        <v>0.34279089836225235</v>
      </c>
      <c r="K51" s="5">
        <f t="shared" si="13"/>
        <v>11.995120404155713</v>
      </c>
      <c r="L51" s="5">
        <f t="shared" si="14"/>
        <v>11.918805541978909</v>
      </c>
      <c r="M51" s="5">
        <f t="shared" si="15"/>
        <v>12.072800304669313</v>
      </c>
      <c r="N51" s="5">
        <f t="shared" si="16"/>
        <v>7.631486217680461E-2</v>
      </c>
      <c r="O51" s="5">
        <f t="shared" si="17"/>
        <v>7.767990051359952E-2</v>
      </c>
    </row>
    <row r="52" spans="1:15" ht="15.6" customHeight="1" x14ac:dyDescent="0.3">
      <c r="A52" s="1">
        <v>3</v>
      </c>
      <c r="B52" s="1">
        <v>200</v>
      </c>
      <c r="C52" s="1">
        <v>1000</v>
      </c>
      <c r="D52" s="2">
        <v>0.1</v>
      </c>
      <c r="E52" s="1">
        <v>20</v>
      </c>
      <c r="F52" s="2">
        <v>0</v>
      </c>
      <c r="G52" s="2">
        <v>36.94</v>
      </c>
      <c r="H52" s="2">
        <v>10.8</v>
      </c>
      <c r="J52" s="4">
        <f t="shared" si="12"/>
        <v>0.34152598729818501</v>
      </c>
      <c r="K52" s="5">
        <f t="shared" si="13"/>
        <v>12.10654359279421</v>
      </c>
      <c r="L52" s="5">
        <f t="shared" si="14"/>
        <v>12.028549500818261</v>
      </c>
      <c r="M52" s="5">
        <f t="shared" si="15"/>
        <v>12.185964019633317</v>
      </c>
      <c r="N52" s="5">
        <f t="shared" si="16"/>
        <v>7.7994091975948976E-2</v>
      </c>
      <c r="O52" s="5">
        <f t="shared" si="17"/>
        <v>7.9420426839106995E-2</v>
      </c>
    </row>
    <row r="53" spans="1:15" ht="15.6" customHeight="1" x14ac:dyDescent="0.3">
      <c r="A53" s="13" t="s">
        <v>17</v>
      </c>
      <c r="B53" s="7"/>
      <c r="C53" s="7"/>
      <c r="D53" s="8"/>
      <c r="E53" s="7"/>
      <c r="F53" s="8"/>
      <c r="G53" s="8"/>
      <c r="H53" s="8"/>
      <c r="I53" s="8"/>
      <c r="J53" s="9"/>
      <c r="K53" s="10"/>
      <c r="L53" s="10"/>
      <c r="M53" s="10"/>
      <c r="N53" s="10"/>
      <c r="O53" s="10"/>
    </row>
    <row r="54" spans="1:15" ht="15.6" customHeight="1" x14ac:dyDescent="0.3">
      <c r="A54" s="1">
        <v>4</v>
      </c>
      <c r="B54" s="1">
        <v>200</v>
      </c>
      <c r="C54" s="1">
        <v>1000</v>
      </c>
      <c r="D54" s="2">
        <v>0.1</v>
      </c>
      <c r="E54" s="1">
        <v>5</v>
      </c>
      <c r="F54" s="2">
        <v>0</v>
      </c>
      <c r="G54" s="2">
        <v>146.49</v>
      </c>
      <c r="H54" s="2">
        <v>26.54</v>
      </c>
      <c r="J54" s="4">
        <f t="shared" ref="J54:J69" si="18">H54/SQRT(C54)</f>
        <v>0.83926849100868783</v>
      </c>
      <c r="K54" s="5">
        <f t="shared" ref="K54:K69" si="19">-10*LOG10(G54/(B54*3))</f>
        <v>6.1234327137985769</v>
      </c>
      <c r="L54" s="5">
        <f t="shared" ref="L54:L69" si="20">-10*LOG10((G54+1.96*J54)/(B54*3))</f>
        <v>6.0749366752926557</v>
      </c>
      <c r="M54" s="5">
        <f t="shared" ref="M54:M69" si="21">-10*LOG10((G54-1.96*J54)/(B54*3))</f>
        <v>6.1724764106571026</v>
      </c>
      <c r="N54" s="5">
        <f t="shared" ref="N54:N69" si="22">K54-L54</f>
        <v>4.8496038505921213E-2</v>
      </c>
      <c r="O54" s="5">
        <f t="shared" ref="O54:O69" si="23">M54-K54</f>
        <v>4.904369685852572E-2</v>
      </c>
    </row>
    <row r="55" spans="1:15" ht="15.6" customHeight="1" x14ac:dyDescent="0.3">
      <c r="A55" s="3">
        <v>4</v>
      </c>
      <c r="B55" s="3">
        <v>200</v>
      </c>
      <c r="C55" s="3">
        <v>1000</v>
      </c>
      <c r="D55" s="4">
        <v>0.1</v>
      </c>
      <c r="E55" s="3">
        <v>6</v>
      </c>
      <c r="F55" s="4">
        <v>0</v>
      </c>
      <c r="G55" s="4">
        <v>99.57</v>
      </c>
      <c r="H55" s="4">
        <v>29.75</v>
      </c>
      <c r="I55" s="4"/>
      <c r="J55" s="4">
        <f t="shared" si="18"/>
        <v>0.94077760390009291</v>
      </c>
      <c r="K55" s="5">
        <f t="shared" si="19"/>
        <v>7.8002274325537719</v>
      </c>
      <c r="L55" s="5">
        <f t="shared" si="20"/>
        <v>7.7205366278058367</v>
      </c>
      <c r="M55" s="5">
        <f t="shared" si="21"/>
        <v>7.8814078997182921</v>
      </c>
      <c r="N55" s="5">
        <f t="shared" si="22"/>
        <v>7.9690804747935218E-2</v>
      </c>
      <c r="O55" s="5">
        <f t="shared" si="23"/>
        <v>8.1180467164520209E-2</v>
      </c>
    </row>
    <row r="56" spans="1:15" ht="15.6" customHeight="1" x14ac:dyDescent="0.3">
      <c r="A56" s="3">
        <v>4</v>
      </c>
      <c r="B56" s="3">
        <v>200</v>
      </c>
      <c r="C56" s="3">
        <v>1000</v>
      </c>
      <c r="D56" s="4">
        <v>0.1</v>
      </c>
      <c r="E56" s="3">
        <v>7</v>
      </c>
      <c r="F56" s="4">
        <v>0</v>
      </c>
      <c r="G56" s="4">
        <v>77.069999999999993</v>
      </c>
      <c r="H56" s="4">
        <v>32.83</v>
      </c>
      <c r="I56" s="4"/>
      <c r="J56" s="4">
        <f t="shared" si="18"/>
        <v>1.0381757558332789</v>
      </c>
      <c r="K56" s="5">
        <f t="shared" si="19"/>
        <v>8.912658913976351</v>
      </c>
      <c r="L56" s="5">
        <f t="shared" si="20"/>
        <v>8.799482791265449</v>
      </c>
      <c r="M56" s="5">
        <f t="shared" si="21"/>
        <v>9.028863476275248</v>
      </c>
      <c r="N56" s="5">
        <f t="shared" si="22"/>
        <v>0.11317612271090205</v>
      </c>
      <c r="O56" s="5">
        <f t="shared" si="23"/>
        <v>0.11620456229889697</v>
      </c>
    </row>
    <row r="57" spans="1:15" ht="15.6" customHeight="1" x14ac:dyDescent="0.3">
      <c r="A57" s="3">
        <v>4</v>
      </c>
      <c r="B57" s="3">
        <v>200</v>
      </c>
      <c r="C57" s="3">
        <v>1000</v>
      </c>
      <c r="D57" s="4">
        <v>0.1</v>
      </c>
      <c r="E57" s="3">
        <v>8</v>
      </c>
      <c r="F57" s="4">
        <v>0</v>
      </c>
      <c r="G57" s="4">
        <v>65.150000000000006</v>
      </c>
      <c r="H57" s="4">
        <v>34.5</v>
      </c>
      <c r="I57" s="4"/>
      <c r="J57" s="4">
        <f t="shared" si="18"/>
        <v>1.0909857927580908</v>
      </c>
      <c r="K57" s="5">
        <f t="shared" si="19"/>
        <v>9.642368303350402</v>
      </c>
      <c r="L57" s="5">
        <f t="shared" si="20"/>
        <v>9.5021148661327093</v>
      </c>
      <c r="M57" s="5">
        <f t="shared" si="21"/>
        <v>9.7873027534219528</v>
      </c>
      <c r="N57" s="5">
        <f t="shared" si="22"/>
        <v>0.14025343721769268</v>
      </c>
      <c r="O57" s="5">
        <f t="shared" si="23"/>
        <v>0.14493445007155081</v>
      </c>
    </row>
    <row r="58" spans="1:15" ht="15.6" customHeight="1" x14ac:dyDescent="0.3">
      <c r="A58" s="3">
        <v>4</v>
      </c>
      <c r="B58" s="3">
        <v>200</v>
      </c>
      <c r="C58" s="3">
        <v>1000</v>
      </c>
      <c r="D58" s="4">
        <v>0.1</v>
      </c>
      <c r="E58" s="3">
        <v>9</v>
      </c>
      <c r="F58" s="4">
        <v>0</v>
      </c>
      <c r="G58" s="4">
        <v>56.85</v>
      </c>
      <c r="H58" s="4">
        <v>34.049999999999997</v>
      </c>
      <c r="I58" s="4"/>
      <c r="J58" s="4">
        <f t="shared" si="18"/>
        <v>1.076755543287333</v>
      </c>
      <c r="K58" s="5">
        <f t="shared" si="19"/>
        <v>10.234207813598902</v>
      </c>
      <c r="L58" s="5">
        <f t="shared" si="20"/>
        <v>10.075905281708298</v>
      </c>
      <c r="M58" s="5">
        <f t="shared" si="21"/>
        <v>10.398499550431827</v>
      </c>
      <c r="N58" s="5">
        <f t="shared" si="22"/>
        <v>0.1583025318906035</v>
      </c>
      <c r="O58" s="5">
        <f t="shared" si="23"/>
        <v>0.16429173683292575</v>
      </c>
    </row>
    <row r="59" spans="1:15" ht="15.6" customHeight="1" x14ac:dyDescent="0.3">
      <c r="A59" s="3">
        <v>4</v>
      </c>
      <c r="B59" s="3">
        <v>200</v>
      </c>
      <c r="C59" s="3">
        <v>1000</v>
      </c>
      <c r="D59" s="4">
        <v>0.1</v>
      </c>
      <c r="E59" s="3">
        <v>10</v>
      </c>
      <c r="F59" s="4">
        <v>0</v>
      </c>
      <c r="G59" s="4">
        <v>54.08</v>
      </c>
      <c r="H59" s="4">
        <v>39.450000000000003</v>
      </c>
      <c r="I59" s="4"/>
      <c r="J59" s="4">
        <f t="shared" si="18"/>
        <v>1.2475185369364257</v>
      </c>
      <c r="K59" s="5">
        <f t="shared" si="19"/>
        <v>10.451145674500641</v>
      </c>
      <c r="L59" s="5">
        <f t="shared" si="20"/>
        <v>10.259096318945854</v>
      </c>
      <c r="M59" s="5">
        <f t="shared" si="21"/>
        <v>10.652082157001896</v>
      </c>
      <c r="N59" s="5">
        <f t="shared" si="22"/>
        <v>0.19204935555478642</v>
      </c>
      <c r="O59" s="5">
        <f t="shared" si="23"/>
        <v>0.2009364825012554</v>
      </c>
    </row>
    <row r="60" spans="1:15" ht="15.6" customHeight="1" x14ac:dyDescent="0.3">
      <c r="A60" s="3">
        <v>4</v>
      </c>
      <c r="B60" s="3">
        <v>200</v>
      </c>
      <c r="C60" s="3">
        <v>1000</v>
      </c>
      <c r="D60" s="4">
        <v>0.1</v>
      </c>
      <c r="E60" s="3">
        <v>11</v>
      </c>
      <c r="F60" s="4">
        <v>0</v>
      </c>
      <c r="G60" s="4">
        <v>52.35</v>
      </c>
      <c r="H60" s="4">
        <v>40.92</v>
      </c>
      <c r="I60" s="4"/>
      <c r="J60" s="4">
        <f t="shared" si="18"/>
        <v>1.294004018540901</v>
      </c>
      <c r="K60" s="5">
        <f t="shared" si="19"/>
        <v>10.592345643687825</v>
      </c>
      <c r="L60" s="5">
        <f t="shared" si="20"/>
        <v>10.386877077473798</v>
      </c>
      <c r="M60" s="5">
        <f t="shared" si="21"/>
        <v>10.808019950349404</v>
      </c>
      <c r="N60" s="5">
        <f t="shared" si="22"/>
        <v>0.20546856621402654</v>
      </c>
      <c r="O60" s="5">
        <f t="shared" si="23"/>
        <v>0.21567430666157961</v>
      </c>
    </row>
    <row r="61" spans="1:15" ht="15.6" customHeight="1" x14ac:dyDescent="0.3">
      <c r="A61" s="3">
        <v>4</v>
      </c>
      <c r="B61" s="3">
        <v>200</v>
      </c>
      <c r="C61" s="3">
        <v>1000</v>
      </c>
      <c r="D61" s="4">
        <v>0.1</v>
      </c>
      <c r="E61" s="3">
        <v>12</v>
      </c>
      <c r="F61" s="4">
        <v>0</v>
      </c>
      <c r="G61" s="4">
        <v>49.84</v>
      </c>
      <c r="H61" s="4">
        <v>40.729999999999997</v>
      </c>
      <c r="I61" s="4"/>
      <c r="J61" s="4">
        <f t="shared" si="18"/>
        <v>1.2879956909865808</v>
      </c>
      <c r="K61" s="5">
        <f t="shared" si="19"/>
        <v>10.805732167325303</v>
      </c>
      <c r="L61" s="5">
        <f t="shared" si="20"/>
        <v>10.59114525254066</v>
      </c>
      <c r="M61" s="5">
        <f t="shared" si="21"/>
        <v>11.03147555491419</v>
      </c>
      <c r="N61" s="5">
        <f t="shared" si="22"/>
        <v>0.21458691478464331</v>
      </c>
      <c r="O61" s="5">
        <f t="shared" si="23"/>
        <v>0.22574338758888679</v>
      </c>
    </row>
    <row r="62" spans="1:15" ht="15.6" customHeight="1" x14ac:dyDescent="0.3">
      <c r="A62" s="3">
        <v>4</v>
      </c>
      <c r="B62" s="3">
        <v>200</v>
      </c>
      <c r="C62" s="3">
        <v>1000</v>
      </c>
      <c r="D62" s="4">
        <v>0.1</v>
      </c>
      <c r="E62" s="3">
        <v>13</v>
      </c>
      <c r="F62" s="4">
        <v>0</v>
      </c>
      <c r="G62" s="4">
        <v>47.39</v>
      </c>
      <c r="H62" s="4">
        <v>39.47</v>
      </c>
      <c r="I62" s="4"/>
      <c r="J62" s="4">
        <f t="shared" si="18"/>
        <v>1.2481509924684593</v>
      </c>
      <c r="K62" s="5">
        <f t="shared" si="19"/>
        <v>11.024645416842425</v>
      </c>
      <c r="L62" s="5">
        <f t="shared" si="20"/>
        <v>10.806047970738287</v>
      </c>
      <c r="M62" s="5">
        <f t="shared" si="21"/>
        <v>11.254831613052726</v>
      </c>
      <c r="N62" s="5">
        <f t="shared" si="22"/>
        <v>0.21859744610413756</v>
      </c>
      <c r="O62" s="5">
        <f t="shared" si="23"/>
        <v>0.23018619621030112</v>
      </c>
    </row>
    <row r="63" spans="1:15" ht="15.6" customHeight="1" x14ac:dyDescent="0.3">
      <c r="A63" s="3">
        <v>4</v>
      </c>
      <c r="B63" s="3">
        <v>200</v>
      </c>
      <c r="C63" s="3">
        <v>1000</v>
      </c>
      <c r="D63" s="4">
        <v>0.1</v>
      </c>
      <c r="E63" s="3">
        <v>14</v>
      </c>
      <c r="F63" s="4">
        <v>0</v>
      </c>
      <c r="G63" s="4">
        <v>47.68</v>
      </c>
      <c r="H63" s="4">
        <v>41.98</v>
      </c>
      <c r="I63" s="4"/>
      <c r="J63" s="4">
        <f t="shared" si="18"/>
        <v>1.3275241617386855</v>
      </c>
      <c r="K63" s="5">
        <f t="shared" si="19"/>
        <v>10.998150036514636</v>
      </c>
      <c r="L63" s="5">
        <f t="shared" si="20"/>
        <v>10.767391613612585</v>
      </c>
      <c r="M63" s="5">
        <f t="shared" si="21"/>
        <v>11.241861039827354</v>
      </c>
      <c r="N63" s="5">
        <f t="shared" si="22"/>
        <v>0.23075842290205095</v>
      </c>
      <c r="O63" s="5">
        <f t="shared" si="23"/>
        <v>0.24371100331271833</v>
      </c>
    </row>
    <row r="64" spans="1:15" ht="15.6" customHeight="1" x14ac:dyDescent="0.3">
      <c r="A64" s="3">
        <v>4</v>
      </c>
      <c r="B64" s="3">
        <v>200</v>
      </c>
      <c r="C64" s="3">
        <v>1000</v>
      </c>
      <c r="D64" s="4">
        <v>0.1</v>
      </c>
      <c r="E64" s="3">
        <v>15</v>
      </c>
      <c r="F64" s="4">
        <v>0</v>
      </c>
      <c r="G64" s="4">
        <v>46.35</v>
      </c>
      <c r="H64" s="4">
        <v>42.63</v>
      </c>
      <c r="I64" s="4"/>
      <c r="J64" s="4">
        <f t="shared" si="18"/>
        <v>1.3480789665297803</v>
      </c>
      <c r="K64" s="5">
        <f t="shared" si="19"/>
        <v>11.121015119031277</v>
      </c>
      <c r="L64" s="5">
        <f t="shared" si="20"/>
        <v>10.880240001893377</v>
      </c>
      <c r="M64" s="5">
        <f t="shared" si="21"/>
        <v>11.375926487670444</v>
      </c>
      <c r="N64" s="5">
        <f t="shared" si="22"/>
        <v>0.24077511713790045</v>
      </c>
      <c r="O64" s="5">
        <f t="shared" si="23"/>
        <v>0.25491136863916708</v>
      </c>
    </row>
    <row r="65" spans="1:15" ht="15.6" customHeight="1" x14ac:dyDescent="0.3">
      <c r="A65" s="3">
        <v>4</v>
      </c>
      <c r="B65" s="3">
        <v>200</v>
      </c>
      <c r="C65" s="3">
        <v>1000</v>
      </c>
      <c r="D65" s="4">
        <v>0.1</v>
      </c>
      <c r="E65" s="3">
        <v>16</v>
      </c>
      <c r="F65" s="3">
        <v>0</v>
      </c>
      <c r="G65" s="4">
        <v>44.05</v>
      </c>
      <c r="H65" s="4">
        <v>43.99</v>
      </c>
      <c r="I65" s="4"/>
      <c r="J65" s="4">
        <f t="shared" si="18"/>
        <v>1.3910859427080702</v>
      </c>
      <c r="K65" s="5">
        <f t="shared" si="19"/>
        <v>11.34205337635577</v>
      </c>
      <c r="L65" s="5">
        <f t="shared" si="20"/>
        <v>11.081232631787728</v>
      </c>
      <c r="M65" s="5">
        <f t="shared" si="21"/>
        <v>11.619544512661424</v>
      </c>
      <c r="N65" s="5">
        <f t="shared" si="22"/>
        <v>0.26082074456804172</v>
      </c>
      <c r="O65" s="5">
        <f t="shared" si="23"/>
        <v>0.27749113630565425</v>
      </c>
    </row>
    <row r="66" spans="1:15" ht="15.6" customHeight="1" x14ac:dyDescent="0.3">
      <c r="A66" s="3">
        <v>4</v>
      </c>
      <c r="B66" s="3">
        <v>200</v>
      </c>
      <c r="C66" s="3">
        <v>1000</v>
      </c>
      <c r="D66" s="4">
        <v>0.1</v>
      </c>
      <c r="E66" s="3">
        <v>17</v>
      </c>
      <c r="F66" s="4">
        <v>0</v>
      </c>
      <c r="G66" s="4">
        <v>41.62</v>
      </c>
      <c r="H66" s="4">
        <v>43.67</v>
      </c>
      <c r="I66" s="4"/>
      <c r="J66" s="4">
        <f t="shared" si="18"/>
        <v>1.3809666541955314</v>
      </c>
      <c r="K66" s="5">
        <f t="shared" si="19"/>
        <v>11.588491745080356</v>
      </c>
      <c r="L66" s="5">
        <f t="shared" si="20"/>
        <v>11.314859023950026</v>
      </c>
      <c r="M66" s="5">
        <f t="shared" si="21"/>
        <v>11.88053128352076</v>
      </c>
      <c r="N66" s="5">
        <f t="shared" si="22"/>
        <v>0.27363272113032977</v>
      </c>
      <c r="O66" s="5">
        <f t="shared" si="23"/>
        <v>0.2920395384404042</v>
      </c>
    </row>
    <row r="67" spans="1:15" ht="15.6" customHeight="1" x14ac:dyDescent="0.3">
      <c r="A67" s="3">
        <v>4</v>
      </c>
      <c r="B67" s="3">
        <v>200</v>
      </c>
      <c r="C67" s="3">
        <v>1000</v>
      </c>
      <c r="D67" s="4">
        <v>0.1</v>
      </c>
      <c r="E67" s="3">
        <v>18</v>
      </c>
      <c r="F67" s="4">
        <v>0</v>
      </c>
      <c r="G67" s="4">
        <v>39.049999999999997</v>
      </c>
      <c r="H67" s="4">
        <v>42.6</v>
      </c>
      <c r="I67" s="4"/>
      <c r="J67" s="4">
        <f t="shared" si="18"/>
        <v>1.3471302832317296</v>
      </c>
      <c r="K67" s="5">
        <f t="shared" si="19"/>
        <v>11.865302121703245</v>
      </c>
      <c r="L67" s="5">
        <f t="shared" si="20"/>
        <v>11.581154451127148</v>
      </c>
      <c r="M67" s="5">
        <f t="shared" si="21"/>
        <v>12.169350486676018</v>
      </c>
      <c r="N67" s="5">
        <f t="shared" si="22"/>
        <v>0.2841476705760968</v>
      </c>
      <c r="O67" s="5">
        <f t="shared" si="23"/>
        <v>0.30404836497277365</v>
      </c>
    </row>
    <row r="68" spans="1:15" ht="15.6" customHeight="1" x14ac:dyDescent="0.3">
      <c r="A68" s="3">
        <v>4</v>
      </c>
      <c r="B68" s="3">
        <v>200</v>
      </c>
      <c r="C68" s="3">
        <v>1000</v>
      </c>
      <c r="D68" s="4">
        <v>0.1</v>
      </c>
      <c r="E68" s="3">
        <v>19</v>
      </c>
      <c r="F68" s="4">
        <v>0</v>
      </c>
      <c r="G68" s="4">
        <v>41.49</v>
      </c>
      <c r="H68" s="4">
        <v>49.45</v>
      </c>
      <c r="I68" s="4"/>
      <c r="J68" s="4">
        <f t="shared" si="18"/>
        <v>1.5637463029532637</v>
      </c>
      <c r="K68" s="5">
        <f t="shared" si="19"/>
        <v>11.602078155546707</v>
      </c>
      <c r="L68" s="5">
        <f t="shared" si="20"/>
        <v>11.292553603806056</v>
      </c>
      <c r="M68" s="5">
        <f t="shared" si="21"/>
        <v>11.935367271931154</v>
      </c>
      <c r="N68" s="5">
        <f t="shared" si="22"/>
        <v>0.30952455174065108</v>
      </c>
      <c r="O68" s="5">
        <f t="shared" si="23"/>
        <v>0.33328911638444758</v>
      </c>
    </row>
    <row r="69" spans="1:15" ht="15.6" customHeight="1" x14ac:dyDescent="0.3">
      <c r="A69" s="3">
        <v>4</v>
      </c>
      <c r="B69" s="3">
        <v>200</v>
      </c>
      <c r="C69" s="3">
        <v>1000</v>
      </c>
      <c r="D69" s="4">
        <v>0.1</v>
      </c>
      <c r="E69" s="3">
        <v>20</v>
      </c>
      <c r="F69" s="4">
        <v>0</v>
      </c>
      <c r="G69" s="4">
        <v>40.31</v>
      </c>
      <c r="H69" s="4">
        <v>47.47</v>
      </c>
      <c r="I69" s="4"/>
      <c r="J69" s="4">
        <f t="shared" si="18"/>
        <v>1.5011332052819297</v>
      </c>
      <c r="K69" s="5">
        <f t="shared" si="19"/>
        <v>11.727384522305925</v>
      </c>
      <c r="L69" s="5">
        <f t="shared" si="20"/>
        <v>11.42142836177214</v>
      </c>
      <c r="M69" s="5">
        <f t="shared" si="21"/>
        <v>12.056539655518353</v>
      </c>
      <c r="N69" s="5">
        <f t="shared" si="22"/>
        <v>0.30595616053378549</v>
      </c>
      <c r="O69" s="5">
        <f t="shared" si="23"/>
        <v>0.32915513321242784</v>
      </c>
    </row>
    <row r="87" spans="10:15" ht="18.75" customHeight="1" x14ac:dyDescent="0.3">
      <c r="J87" s="4"/>
      <c r="K87" s="5"/>
      <c r="L87" s="5"/>
      <c r="M87" s="5"/>
      <c r="N87" s="5"/>
      <c r="O87" s="5"/>
    </row>
  </sheetData>
  <pageMargins left="0.7" right="0.7" top="0.75" bottom="0.75" header="0.3" footer="0.3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7EA6BF-D316-4CF0-B68F-0CA449667C50}">
  <sheetPr codeName="Sheet9">
    <outlinePr summaryBelow="0"/>
  </sheetPr>
  <dimension ref="A1:O107"/>
  <sheetViews>
    <sheetView zoomScale="115" zoomScaleNormal="115" workbookViewId="0">
      <pane ySplit="1" topLeftCell="A2" activePane="bottomLeft" state="frozen"/>
      <selection activeCell="G30" sqref="G30"/>
      <selection pane="bottomLeft" activeCell="D25" sqref="D25"/>
    </sheetView>
  </sheetViews>
  <sheetFormatPr defaultRowHeight="14.4" x14ac:dyDescent="0.3"/>
  <cols>
    <col min="1" max="1" width="13.33203125" style="1" bestFit="1" customWidth="1"/>
    <col min="2" max="2" width="10.33203125" style="1" customWidth="1"/>
    <col min="3" max="3" width="10.77734375" style="1" customWidth="1"/>
    <col min="4" max="4" width="10.21875" style="2" customWidth="1"/>
    <col min="5" max="5" width="11.77734375" style="1" customWidth="1"/>
    <col min="6" max="6" width="9.44140625" style="2" customWidth="1"/>
    <col min="7" max="9" width="10" style="2" customWidth="1"/>
    <col min="10" max="10" width="9" style="2" customWidth="1"/>
    <col min="11" max="15" width="12.44140625" style="2" customWidth="1"/>
    <col min="16" max="16" width="12.44140625" customWidth="1"/>
  </cols>
  <sheetData>
    <row r="1" spans="1:15" s="6" customFormat="1" ht="15.6" customHeight="1" x14ac:dyDescent="0.3">
      <c r="A1" s="11" t="s">
        <v>14</v>
      </c>
      <c r="B1" s="11" t="s">
        <v>0</v>
      </c>
      <c r="C1" s="11" t="s">
        <v>1</v>
      </c>
      <c r="D1" s="12" t="s">
        <v>2</v>
      </c>
      <c r="E1" s="11" t="s">
        <v>3</v>
      </c>
      <c r="F1" s="12" t="s">
        <v>4</v>
      </c>
      <c r="G1" s="12" t="s">
        <v>5</v>
      </c>
      <c r="H1" s="12" t="s">
        <v>6</v>
      </c>
      <c r="I1" s="12"/>
      <c r="J1" s="12" t="s">
        <v>7</v>
      </c>
      <c r="K1" s="12" t="s">
        <v>8</v>
      </c>
      <c r="L1" s="12" t="s">
        <v>9</v>
      </c>
      <c r="M1" s="12" t="s">
        <v>10</v>
      </c>
      <c r="N1" s="12" t="s">
        <v>11</v>
      </c>
      <c r="O1" s="12" t="s">
        <v>12</v>
      </c>
    </row>
    <row r="2" spans="1:15" ht="15.6" customHeight="1" x14ac:dyDescent="0.3">
      <c r="A2" s="13" t="s">
        <v>13</v>
      </c>
      <c r="B2" s="7"/>
      <c r="C2" s="7"/>
      <c r="D2" s="8"/>
      <c r="E2" s="7"/>
      <c r="F2" s="8"/>
      <c r="G2" s="8"/>
      <c r="H2" s="8"/>
      <c r="I2" s="8"/>
      <c r="J2" s="9"/>
      <c r="K2" s="10"/>
      <c r="L2" s="10"/>
      <c r="M2" s="10"/>
      <c r="N2" s="10"/>
      <c r="O2" s="10"/>
    </row>
    <row r="3" spans="1:15" ht="15.6" customHeight="1" x14ac:dyDescent="0.3">
      <c r="A3" s="1">
        <v>1</v>
      </c>
      <c r="B3" s="1">
        <v>200</v>
      </c>
      <c r="C3" s="1">
        <v>400</v>
      </c>
      <c r="D3" s="2">
        <v>0</v>
      </c>
      <c r="E3" s="1">
        <v>10</v>
      </c>
      <c r="F3" s="2">
        <v>0</v>
      </c>
      <c r="G3" s="2">
        <v>102.84</v>
      </c>
      <c r="H3" s="2">
        <v>46.01</v>
      </c>
      <c r="J3" s="4">
        <f t="shared" ref="J3:J23" si="0">H3/SQRT(C3)</f>
        <v>2.3005</v>
      </c>
      <c r="K3" s="5">
        <f t="shared" ref="K3:K23" si="1">-10*LOG10(G3/(B3*3))</f>
        <v>7.6598918241282066</v>
      </c>
      <c r="L3" s="5">
        <f t="shared" ref="L3:L23" si="2">-10*LOG10((G3+1.96*J3)/(B3*3))</f>
        <v>7.4735332813653752</v>
      </c>
      <c r="M3" s="5">
        <f t="shared" ref="M3:M23" si="3">-10*LOG10((G3-1.96*J3)/(B3*3))</f>
        <v>7.8546070620703397</v>
      </c>
      <c r="N3" s="5">
        <f t="shared" ref="N3:N23" si="4">K3-L3</f>
        <v>0.18635854276283137</v>
      </c>
      <c r="O3" s="5">
        <f t="shared" ref="O3:O23" si="5">M3-K3</f>
        <v>0.19471523794213308</v>
      </c>
    </row>
    <row r="4" spans="1:15" ht="15.6" customHeight="1" x14ac:dyDescent="0.3">
      <c r="A4" s="3">
        <v>1</v>
      </c>
      <c r="B4" s="3">
        <v>200</v>
      </c>
      <c r="C4" s="3">
        <v>400</v>
      </c>
      <c r="D4" s="4">
        <v>0.01</v>
      </c>
      <c r="E4" s="3">
        <v>10</v>
      </c>
      <c r="F4" s="4">
        <v>0</v>
      </c>
      <c r="G4" s="4">
        <v>104.23</v>
      </c>
      <c r="H4" s="4">
        <v>46.72</v>
      </c>
      <c r="I4" s="4"/>
      <c r="J4" s="4">
        <f t="shared" si="0"/>
        <v>2.3359999999999999</v>
      </c>
      <c r="K4" s="5">
        <f t="shared" si="1"/>
        <v>7.6015851261721057</v>
      </c>
      <c r="L4" s="5">
        <f t="shared" si="2"/>
        <v>7.4148818760851851</v>
      </c>
      <c r="M4" s="5">
        <f t="shared" si="3"/>
        <v>7.7966767158662131</v>
      </c>
      <c r="N4" s="5">
        <f t="shared" si="4"/>
        <v>0.18670325008692057</v>
      </c>
      <c r="O4" s="5">
        <f t="shared" si="5"/>
        <v>0.19509158969410745</v>
      </c>
    </row>
    <row r="5" spans="1:15" ht="15.6" customHeight="1" x14ac:dyDescent="0.3">
      <c r="A5" s="3">
        <v>1</v>
      </c>
      <c r="B5" s="3">
        <v>200</v>
      </c>
      <c r="C5" s="3">
        <v>400</v>
      </c>
      <c r="D5" s="4">
        <v>0.02</v>
      </c>
      <c r="E5" s="3">
        <v>10</v>
      </c>
      <c r="F5" s="4">
        <v>0</v>
      </c>
      <c r="G5" s="4">
        <v>99.86</v>
      </c>
      <c r="H5" s="4">
        <v>47.13</v>
      </c>
      <c r="I5" s="4"/>
      <c r="J5" s="4">
        <f t="shared" si="0"/>
        <v>2.3565</v>
      </c>
      <c r="K5" s="5">
        <f t="shared" si="1"/>
        <v>7.7875968866455274</v>
      </c>
      <c r="L5" s="5">
        <f t="shared" si="2"/>
        <v>7.5912332395596449</v>
      </c>
      <c r="M5" s="5">
        <f t="shared" si="3"/>
        <v>7.9932611808772389</v>
      </c>
      <c r="N5" s="5">
        <f t="shared" si="4"/>
        <v>0.1963636470858825</v>
      </c>
      <c r="O5" s="5">
        <f t="shared" si="5"/>
        <v>0.20566429423171151</v>
      </c>
    </row>
    <row r="6" spans="1:15" ht="15.6" customHeight="1" x14ac:dyDescent="0.3">
      <c r="A6" s="3">
        <v>1</v>
      </c>
      <c r="B6" s="3">
        <v>200</v>
      </c>
      <c r="C6" s="3">
        <v>400</v>
      </c>
      <c r="D6" s="4">
        <v>0.03</v>
      </c>
      <c r="E6" s="3">
        <v>10</v>
      </c>
      <c r="F6" s="4">
        <v>0</v>
      </c>
      <c r="G6" s="4">
        <v>96.83</v>
      </c>
      <c r="H6" s="4">
        <v>51.76</v>
      </c>
      <c r="I6" s="4"/>
      <c r="J6" s="4">
        <f t="shared" si="0"/>
        <v>2.5880000000000001</v>
      </c>
      <c r="K6" s="5">
        <f t="shared" si="1"/>
        <v>7.921413185303825</v>
      </c>
      <c r="L6" s="5">
        <f t="shared" si="2"/>
        <v>7.6996649682658989</v>
      </c>
      <c r="M6" s="5">
        <f t="shared" si="3"/>
        <v>8.1550958333775281</v>
      </c>
      <c r="N6" s="5">
        <f t="shared" si="4"/>
        <v>0.22174821703792613</v>
      </c>
      <c r="O6" s="5">
        <f t="shared" si="5"/>
        <v>0.23368264807370309</v>
      </c>
    </row>
    <row r="7" spans="1:15" ht="15.6" customHeight="1" x14ac:dyDescent="0.3">
      <c r="A7" s="3">
        <v>1</v>
      </c>
      <c r="B7" s="3">
        <v>200</v>
      </c>
      <c r="C7" s="3">
        <v>400</v>
      </c>
      <c r="D7" s="4">
        <v>0.04</v>
      </c>
      <c r="E7" s="3">
        <v>10</v>
      </c>
      <c r="F7" s="4">
        <v>0</v>
      </c>
      <c r="G7" s="4">
        <v>88.83</v>
      </c>
      <c r="H7" s="4">
        <v>46.15</v>
      </c>
      <c r="I7" s="4"/>
      <c r="J7" s="4">
        <f t="shared" si="0"/>
        <v>2.3075000000000001</v>
      </c>
      <c r="K7" s="5">
        <f t="shared" si="1"/>
        <v>8.2959158827468205</v>
      </c>
      <c r="L7" s="5">
        <f t="shared" si="2"/>
        <v>8.0802436700434459</v>
      </c>
      <c r="M7" s="5">
        <f t="shared" si="3"/>
        <v>8.5228606944268765</v>
      </c>
      <c r="N7" s="5">
        <f t="shared" si="4"/>
        <v>0.21567221270337456</v>
      </c>
      <c r="O7" s="5">
        <f t="shared" si="5"/>
        <v>0.22694481168005609</v>
      </c>
    </row>
    <row r="8" spans="1:15" ht="15.6" customHeight="1" x14ac:dyDescent="0.3">
      <c r="A8" s="3">
        <v>1</v>
      </c>
      <c r="B8" s="3">
        <v>200</v>
      </c>
      <c r="C8" s="3">
        <v>400</v>
      </c>
      <c r="D8" s="4">
        <v>0.05</v>
      </c>
      <c r="E8" s="3">
        <v>10</v>
      </c>
      <c r="F8" s="4">
        <v>0</v>
      </c>
      <c r="G8" s="4">
        <v>82.52</v>
      </c>
      <c r="H8" s="4">
        <v>40.5</v>
      </c>
      <c r="I8" s="4"/>
      <c r="J8" s="4">
        <f t="shared" si="0"/>
        <v>2.0249999999999999</v>
      </c>
      <c r="K8" s="5">
        <f t="shared" si="1"/>
        <v>8.6159203108252971</v>
      </c>
      <c r="L8" s="5">
        <f t="shared" si="2"/>
        <v>8.4119037463075763</v>
      </c>
      <c r="M8" s="5">
        <f t="shared" si="3"/>
        <v>8.8299953215064981</v>
      </c>
      <c r="N8" s="5">
        <f t="shared" si="4"/>
        <v>0.20401656451772077</v>
      </c>
      <c r="O8" s="5">
        <f t="shared" si="5"/>
        <v>0.21407501068120105</v>
      </c>
    </row>
    <row r="9" spans="1:15" ht="15.6" customHeight="1" x14ac:dyDescent="0.3">
      <c r="A9" s="3">
        <v>1</v>
      </c>
      <c r="B9" s="3">
        <v>200</v>
      </c>
      <c r="C9" s="3">
        <v>400</v>
      </c>
      <c r="D9" s="4">
        <v>0.06</v>
      </c>
      <c r="E9" s="3">
        <v>10</v>
      </c>
      <c r="F9" s="4">
        <v>0</v>
      </c>
      <c r="G9" s="4">
        <v>81.22</v>
      </c>
      <c r="H9" s="4">
        <v>40.92</v>
      </c>
      <c r="I9" s="4"/>
      <c r="J9" s="4">
        <f t="shared" si="0"/>
        <v>2.0460000000000003</v>
      </c>
      <c r="K9" s="5">
        <f t="shared" si="1"/>
        <v>8.6848826522962561</v>
      </c>
      <c r="L9" s="5">
        <f t="shared" si="2"/>
        <v>8.475579466523925</v>
      </c>
      <c r="M9" s="5">
        <f t="shared" si="3"/>
        <v>8.9047859790574204</v>
      </c>
      <c r="N9" s="5">
        <f t="shared" si="4"/>
        <v>0.20930318577233109</v>
      </c>
      <c r="O9" s="5">
        <f t="shared" si="5"/>
        <v>0.21990332676116431</v>
      </c>
    </row>
    <row r="10" spans="1:15" ht="15.6" customHeight="1" x14ac:dyDescent="0.3">
      <c r="A10" s="3">
        <v>1</v>
      </c>
      <c r="B10" s="3">
        <v>200</v>
      </c>
      <c r="C10" s="3">
        <v>400</v>
      </c>
      <c r="D10" s="4">
        <v>7.0000000000000007E-2</v>
      </c>
      <c r="E10" s="3">
        <v>10</v>
      </c>
      <c r="F10" s="4">
        <v>0</v>
      </c>
      <c r="G10" s="4">
        <v>86.3</v>
      </c>
      <c r="H10" s="4">
        <v>52.42</v>
      </c>
      <c r="I10" s="4"/>
      <c r="J10" s="4">
        <f t="shared" si="0"/>
        <v>2.621</v>
      </c>
      <c r="K10" s="5">
        <f t="shared" si="1"/>
        <v>8.4214045466843395</v>
      </c>
      <c r="L10" s="5">
        <f t="shared" si="2"/>
        <v>8.1702852179216201</v>
      </c>
      <c r="M10" s="5">
        <f t="shared" si="3"/>
        <v>8.6879401519200954</v>
      </c>
      <c r="N10" s="5">
        <f t="shared" si="4"/>
        <v>0.25111932876271936</v>
      </c>
      <c r="O10" s="5">
        <f t="shared" si="5"/>
        <v>0.26653560523575592</v>
      </c>
    </row>
    <row r="11" spans="1:15" ht="15.6" customHeight="1" x14ac:dyDescent="0.3">
      <c r="A11" s="3">
        <v>1</v>
      </c>
      <c r="B11" s="3">
        <v>200</v>
      </c>
      <c r="C11" s="3">
        <v>400</v>
      </c>
      <c r="D11" s="4">
        <v>0.08</v>
      </c>
      <c r="E11" s="3">
        <v>10</v>
      </c>
      <c r="F11" s="4">
        <v>0</v>
      </c>
      <c r="G11" s="4">
        <v>82.7</v>
      </c>
      <c r="H11" s="4">
        <v>42.28</v>
      </c>
      <c r="I11" s="4"/>
      <c r="J11" s="4">
        <f t="shared" si="0"/>
        <v>2.1139999999999999</v>
      </c>
      <c r="K11" s="5">
        <f t="shared" si="1"/>
        <v>8.6064574083109697</v>
      </c>
      <c r="L11" s="5">
        <f t="shared" si="2"/>
        <v>8.3941423219927955</v>
      </c>
      <c r="M11" s="5">
        <f t="shared" si="3"/>
        <v>8.8296879298927031</v>
      </c>
      <c r="N11" s="5">
        <f t="shared" si="4"/>
        <v>0.2123150863181742</v>
      </c>
      <c r="O11" s="5">
        <f t="shared" si="5"/>
        <v>0.2232305215817334</v>
      </c>
    </row>
    <row r="12" spans="1:15" ht="15.6" customHeight="1" x14ac:dyDescent="0.3">
      <c r="A12" s="3">
        <v>1</v>
      </c>
      <c r="B12" s="3">
        <v>200</v>
      </c>
      <c r="C12" s="3">
        <v>400</v>
      </c>
      <c r="D12" s="4">
        <v>0.09</v>
      </c>
      <c r="E12" s="3">
        <v>10</v>
      </c>
      <c r="F12" s="4">
        <v>0</v>
      </c>
      <c r="G12" s="4">
        <v>91.47</v>
      </c>
      <c r="H12" s="4">
        <v>54.69</v>
      </c>
      <c r="I12" s="4"/>
      <c r="J12" s="4">
        <f t="shared" si="0"/>
        <v>2.7344999999999997</v>
      </c>
      <c r="K12" s="5">
        <f t="shared" si="1"/>
        <v>8.1687257129860047</v>
      </c>
      <c r="L12" s="5">
        <f t="shared" si="2"/>
        <v>7.9214302288055229</v>
      </c>
      <c r="M12" s="5">
        <f t="shared" si="3"/>
        <v>8.4309574463255785</v>
      </c>
      <c r="N12" s="5">
        <f t="shared" si="4"/>
        <v>0.24729548418048175</v>
      </c>
      <c r="O12" s="5">
        <f t="shared" si="5"/>
        <v>0.26223173333957384</v>
      </c>
    </row>
    <row r="13" spans="1:15" ht="15.6" customHeight="1" x14ac:dyDescent="0.3">
      <c r="A13" s="3">
        <v>1</v>
      </c>
      <c r="B13" s="3">
        <v>200</v>
      </c>
      <c r="C13" s="3">
        <v>400</v>
      </c>
      <c r="D13" s="4">
        <v>0.1</v>
      </c>
      <c r="E13" s="3">
        <v>10</v>
      </c>
      <c r="F13" s="4">
        <v>0</v>
      </c>
      <c r="G13" s="4">
        <v>91.65</v>
      </c>
      <c r="H13" s="4">
        <v>46.14</v>
      </c>
      <c r="I13" s="4"/>
      <c r="J13" s="4">
        <f t="shared" si="0"/>
        <v>2.3069999999999999</v>
      </c>
      <c r="K13" s="5">
        <f t="shared" si="1"/>
        <v>8.1601878108540813</v>
      </c>
      <c r="L13" s="5">
        <f t="shared" si="2"/>
        <v>7.9510386705222356</v>
      </c>
      <c r="M13" s="5">
        <f t="shared" si="3"/>
        <v>8.379921096754261</v>
      </c>
      <c r="N13" s="5">
        <f t="shared" si="4"/>
        <v>0.20914914033184573</v>
      </c>
      <c r="O13" s="5">
        <f t="shared" si="5"/>
        <v>0.21973328590017971</v>
      </c>
    </row>
    <row r="14" spans="1:15" ht="15.6" customHeight="1" x14ac:dyDescent="0.3">
      <c r="A14" s="3">
        <v>1</v>
      </c>
      <c r="B14" s="3">
        <v>200</v>
      </c>
      <c r="C14" s="3">
        <v>400</v>
      </c>
      <c r="D14" s="4">
        <v>0.11</v>
      </c>
      <c r="E14" s="3">
        <v>10</v>
      </c>
      <c r="F14" s="4">
        <v>0</v>
      </c>
      <c r="G14" s="4">
        <v>94.93</v>
      </c>
      <c r="H14" s="4">
        <v>54.47</v>
      </c>
      <c r="I14" s="4"/>
      <c r="J14" s="4">
        <f t="shared" si="0"/>
        <v>2.7235</v>
      </c>
      <c r="K14" s="5">
        <f t="shared" si="1"/>
        <v>8.0074776951020894</v>
      </c>
      <c r="L14" s="5">
        <f t="shared" si="2"/>
        <v>7.7698863814938903</v>
      </c>
      <c r="M14" s="5">
        <f t="shared" si="3"/>
        <v>8.2588230959399684</v>
      </c>
      <c r="N14" s="5">
        <f t="shared" si="4"/>
        <v>0.23759131360819907</v>
      </c>
      <c r="O14" s="5">
        <f t="shared" si="5"/>
        <v>0.25134540083787904</v>
      </c>
    </row>
    <row r="15" spans="1:15" ht="15.6" customHeight="1" x14ac:dyDescent="0.3">
      <c r="A15" s="3">
        <v>1</v>
      </c>
      <c r="B15" s="3">
        <v>200</v>
      </c>
      <c r="C15" s="3">
        <v>400</v>
      </c>
      <c r="D15" s="4">
        <v>0.12</v>
      </c>
      <c r="E15" s="3">
        <v>10</v>
      </c>
      <c r="F15" s="4">
        <v>0</v>
      </c>
      <c r="G15" s="4">
        <v>98.12</v>
      </c>
      <c r="H15" s="4">
        <v>50.33</v>
      </c>
      <c r="I15" s="4"/>
      <c r="J15" s="4">
        <f t="shared" si="0"/>
        <v>2.5164999999999997</v>
      </c>
      <c r="K15" s="5">
        <f t="shared" si="1"/>
        <v>7.863937108492955</v>
      </c>
      <c r="L15" s="5">
        <f t="shared" si="2"/>
        <v>7.6509339267161778</v>
      </c>
      <c r="M15" s="5">
        <f t="shared" si="3"/>
        <v>8.087928439172785</v>
      </c>
      <c r="N15" s="5">
        <f t="shared" si="4"/>
        <v>0.21300318177677724</v>
      </c>
      <c r="O15" s="5">
        <f t="shared" si="5"/>
        <v>0.22399133067983001</v>
      </c>
    </row>
    <row r="16" spans="1:15" ht="15.6" customHeight="1" x14ac:dyDescent="0.3">
      <c r="A16" s="3">
        <v>1</v>
      </c>
      <c r="B16" s="3">
        <v>200</v>
      </c>
      <c r="C16" s="3">
        <v>400</v>
      </c>
      <c r="D16" s="4">
        <v>0.13</v>
      </c>
      <c r="E16" s="3">
        <v>10</v>
      </c>
      <c r="F16" s="4">
        <v>0</v>
      </c>
      <c r="G16" s="4">
        <v>105.03</v>
      </c>
      <c r="H16" s="4">
        <v>47.99</v>
      </c>
      <c r="I16" s="4"/>
      <c r="J16" s="4">
        <f t="shared" si="0"/>
        <v>2.3995000000000002</v>
      </c>
      <c r="K16" s="5">
        <f t="shared" si="1"/>
        <v>7.5683788489894859</v>
      </c>
      <c r="L16" s="5">
        <f t="shared" si="2"/>
        <v>7.3781391865236854</v>
      </c>
      <c r="M16" s="5">
        <f t="shared" si="3"/>
        <v>7.7673351088792106</v>
      </c>
      <c r="N16" s="5">
        <f t="shared" si="4"/>
        <v>0.19023966246580049</v>
      </c>
      <c r="O16" s="5">
        <f t="shared" si="5"/>
        <v>0.19895625988972476</v>
      </c>
    </row>
    <row r="17" spans="1:15" ht="15.6" customHeight="1" x14ac:dyDescent="0.3">
      <c r="A17" s="3">
        <v>1</v>
      </c>
      <c r="B17" s="3">
        <v>200</v>
      </c>
      <c r="C17" s="3">
        <v>400</v>
      </c>
      <c r="D17" s="4">
        <v>0.14000000000000001</v>
      </c>
      <c r="E17" s="3">
        <v>10</v>
      </c>
      <c r="F17" s="4">
        <v>0</v>
      </c>
      <c r="G17" s="4">
        <v>114.36</v>
      </c>
      <c r="H17" s="4">
        <v>53.56</v>
      </c>
      <c r="I17" s="4"/>
      <c r="J17" s="4">
        <f t="shared" si="0"/>
        <v>2.6779999999999999</v>
      </c>
      <c r="K17" s="5">
        <f t="shared" si="1"/>
        <v>7.1987710369769244</v>
      </c>
      <c r="L17" s="5">
        <f t="shared" si="2"/>
        <v>7.0038782665234391</v>
      </c>
      <c r="M17" s="5">
        <f t="shared" si="3"/>
        <v>7.4028223665561441</v>
      </c>
      <c r="N17" s="5">
        <f t="shared" si="4"/>
        <v>0.1948927704534853</v>
      </c>
      <c r="O17" s="5">
        <f t="shared" si="5"/>
        <v>0.20405132957921968</v>
      </c>
    </row>
    <row r="18" spans="1:15" ht="15.6" customHeight="1" x14ac:dyDescent="0.3">
      <c r="A18" s="3">
        <v>1</v>
      </c>
      <c r="B18" s="3">
        <v>200</v>
      </c>
      <c r="C18" s="3">
        <v>400</v>
      </c>
      <c r="D18" s="4">
        <v>0.15</v>
      </c>
      <c r="E18" s="3">
        <v>10</v>
      </c>
      <c r="F18" s="4">
        <v>0</v>
      </c>
      <c r="G18" s="4">
        <v>128.91999999999999</v>
      </c>
      <c r="H18" s="4">
        <v>52.37</v>
      </c>
      <c r="I18" s="4"/>
      <c r="J18" s="4">
        <f t="shared" si="0"/>
        <v>2.6185</v>
      </c>
      <c r="K18" s="5">
        <f t="shared" si="1"/>
        <v>6.6783095354334678</v>
      </c>
      <c r="L18" s="5">
        <f t="shared" si="2"/>
        <v>6.5087711019040437</v>
      </c>
      <c r="M18" s="5">
        <f t="shared" si="3"/>
        <v>6.854736163134989</v>
      </c>
      <c r="N18" s="5">
        <f t="shared" si="4"/>
        <v>0.1695384335294241</v>
      </c>
      <c r="O18" s="5">
        <f t="shared" si="5"/>
        <v>0.17642662770152118</v>
      </c>
    </row>
    <row r="19" spans="1:15" ht="15.6" customHeight="1" x14ac:dyDescent="0.3">
      <c r="A19" s="3">
        <v>1</v>
      </c>
      <c r="B19" s="3">
        <v>200</v>
      </c>
      <c r="C19" s="3">
        <v>400</v>
      </c>
      <c r="D19" s="4">
        <v>0.16</v>
      </c>
      <c r="E19" s="3">
        <v>10</v>
      </c>
      <c r="F19" s="4">
        <v>0</v>
      </c>
      <c r="G19" s="4">
        <v>141.15</v>
      </c>
      <c r="H19" s="4">
        <v>53.89</v>
      </c>
      <c r="I19" s="4"/>
      <c r="J19" s="4">
        <f t="shared" si="0"/>
        <v>2.6945000000000001</v>
      </c>
      <c r="K19" s="5">
        <f t="shared" si="1"/>
        <v>6.2847036790070545</v>
      </c>
      <c r="L19" s="5">
        <f t="shared" si="2"/>
        <v>6.1251756964332209</v>
      </c>
      <c r="M19" s="5">
        <f t="shared" si="3"/>
        <v>6.4503157460306486</v>
      </c>
      <c r="N19" s="5">
        <f t="shared" si="4"/>
        <v>0.1595279825738336</v>
      </c>
      <c r="O19" s="5">
        <f t="shared" si="5"/>
        <v>0.1656120670235941</v>
      </c>
    </row>
    <row r="20" spans="1:15" ht="15.6" customHeight="1" x14ac:dyDescent="0.3">
      <c r="A20" s="3">
        <v>1</v>
      </c>
      <c r="B20" s="3">
        <v>200</v>
      </c>
      <c r="C20" s="3">
        <v>400</v>
      </c>
      <c r="D20" s="4">
        <v>0.17</v>
      </c>
      <c r="E20" s="3">
        <v>10</v>
      </c>
      <c r="F20" s="4">
        <v>0</v>
      </c>
      <c r="G20" s="4">
        <v>155.78</v>
      </c>
      <c r="H20" s="4">
        <v>55.68</v>
      </c>
      <c r="I20" s="4"/>
      <c r="J20" s="4">
        <f t="shared" si="0"/>
        <v>2.7839999999999998</v>
      </c>
      <c r="K20" s="5">
        <f t="shared" si="1"/>
        <v>5.8563955088014241</v>
      </c>
      <c r="L20" s="5">
        <f t="shared" si="2"/>
        <v>5.7068751104318753</v>
      </c>
      <c r="M20" s="5">
        <f t="shared" si="3"/>
        <v>6.011247759125764</v>
      </c>
      <c r="N20" s="5">
        <f t="shared" si="4"/>
        <v>0.14952039836954878</v>
      </c>
      <c r="O20" s="5">
        <f t="shared" si="5"/>
        <v>0.15485225032433991</v>
      </c>
    </row>
    <row r="21" spans="1:15" ht="15.6" customHeight="1" x14ac:dyDescent="0.3">
      <c r="A21" s="3">
        <v>1</v>
      </c>
      <c r="B21" s="3">
        <v>200</v>
      </c>
      <c r="C21" s="3">
        <v>400</v>
      </c>
      <c r="D21" s="4">
        <v>0.18</v>
      </c>
      <c r="E21" s="3">
        <v>10</v>
      </c>
      <c r="F21" s="4">
        <v>0</v>
      </c>
      <c r="G21" s="4">
        <v>172.07</v>
      </c>
      <c r="H21" s="4">
        <v>51.54</v>
      </c>
      <c r="I21" s="4"/>
      <c r="J21" s="4">
        <f t="shared" si="0"/>
        <v>2.577</v>
      </c>
      <c r="K21" s="5">
        <f t="shared" si="1"/>
        <v>5.4244609167818929</v>
      </c>
      <c r="L21" s="5">
        <f t="shared" si="2"/>
        <v>5.2988139103437506</v>
      </c>
      <c r="M21" s="5">
        <f t="shared" si="3"/>
        <v>5.5538516327565635</v>
      </c>
      <c r="N21" s="5">
        <f t="shared" si="4"/>
        <v>0.12564700643814231</v>
      </c>
      <c r="O21" s="5">
        <f t="shared" si="5"/>
        <v>0.12939071597467056</v>
      </c>
    </row>
    <row r="22" spans="1:15" ht="15.6" customHeight="1" x14ac:dyDescent="0.3">
      <c r="A22" s="3">
        <v>1</v>
      </c>
      <c r="B22" s="3">
        <v>200</v>
      </c>
      <c r="C22" s="3">
        <v>400</v>
      </c>
      <c r="D22" s="4">
        <v>0.19</v>
      </c>
      <c r="E22" s="3">
        <v>10</v>
      </c>
      <c r="F22" s="4">
        <v>0</v>
      </c>
      <c r="G22" s="4">
        <v>194.42</v>
      </c>
      <c r="H22" s="4">
        <v>49.17</v>
      </c>
      <c r="I22" s="4"/>
      <c r="J22" s="4">
        <f t="shared" si="0"/>
        <v>2.4584999999999999</v>
      </c>
      <c r="K22" s="5">
        <f t="shared" si="1"/>
        <v>4.8941031158935653</v>
      </c>
      <c r="L22" s="5">
        <f t="shared" si="2"/>
        <v>4.7877763820546386</v>
      </c>
      <c r="M22" s="5">
        <f t="shared" si="3"/>
        <v>5.0030984801161065</v>
      </c>
      <c r="N22" s="5">
        <f t="shared" si="4"/>
        <v>0.10632673383892666</v>
      </c>
      <c r="O22" s="5">
        <f t="shared" si="5"/>
        <v>0.10899536422254119</v>
      </c>
    </row>
    <row r="23" spans="1:15" ht="15.6" customHeight="1" x14ac:dyDescent="0.3">
      <c r="A23" s="3">
        <v>1</v>
      </c>
      <c r="B23" s="3">
        <v>200</v>
      </c>
      <c r="C23" s="3">
        <v>400</v>
      </c>
      <c r="D23" s="4">
        <v>0.2</v>
      </c>
      <c r="E23" s="3">
        <v>10</v>
      </c>
      <c r="F23" s="4">
        <v>0</v>
      </c>
      <c r="G23" s="4">
        <v>206.15</v>
      </c>
      <c r="H23" s="4">
        <v>46.18</v>
      </c>
      <c r="I23" s="4"/>
      <c r="J23" s="4">
        <f t="shared" si="0"/>
        <v>2.3090000000000002</v>
      </c>
      <c r="K23" s="5">
        <f t="shared" si="1"/>
        <v>4.6396791124626633</v>
      </c>
      <c r="L23" s="5">
        <f t="shared" si="2"/>
        <v>4.5453692846891665</v>
      </c>
      <c r="M23" s="5">
        <f t="shared" si="3"/>
        <v>4.7360824853050447</v>
      </c>
      <c r="N23" s="5">
        <f t="shared" si="4"/>
        <v>9.4309827773496835E-2</v>
      </c>
      <c r="O23" s="5">
        <f t="shared" si="5"/>
        <v>9.640337284238143E-2</v>
      </c>
    </row>
    <row r="24" spans="1:15" ht="15.6" customHeight="1" x14ac:dyDescent="0.3">
      <c r="A24" s="13" t="s">
        <v>15</v>
      </c>
      <c r="B24" s="7"/>
      <c r="C24" s="7"/>
      <c r="D24" s="8"/>
      <c r="E24" s="7"/>
      <c r="F24" s="8"/>
      <c r="G24" s="8"/>
      <c r="H24" s="8"/>
      <c r="I24" s="8"/>
      <c r="J24" s="9"/>
      <c r="K24" s="10"/>
      <c r="L24" s="10"/>
      <c r="M24" s="10"/>
      <c r="N24" s="10"/>
      <c r="O24" s="10"/>
    </row>
    <row r="25" spans="1:15" ht="15.6" customHeight="1" x14ac:dyDescent="0.3">
      <c r="A25" s="3">
        <v>2</v>
      </c>
      <c r="B25" s="3">
        <v>200</v>
      </c>
      <c r="C25" s="3">
        <v>400</v>
      </c>
      <c r="D25" s="4">
        <v>0</v>
      </c>
      <c r="E25" s="3">
        <v>10</v>
      </c>
      <c r="F25" s="4">
        <v>0</v>
      </c>
      <c r="G25" s="4">
        <v>98.27</v>
      </c>
      <c r="H25" s="4">
        <v>21.51</v>
      </c>
      <c r="I25" s="4"/>
      <c r="J25" s="4">
        <f t="shared" ref="J25:J45" si="6">H25/SQRT(C25)</f>
        <v>1.0755000000000001</v>
      </c>
      <c r="K25" s="5">
        <f t="shared" ref="K25:K45" si="7">-10*LOG10(G25/(B25*3))</f>
        <v>7.8573029433161947</v>
      </c>
      <c r="L25" s="5">
        <f t="shared" ref="L25:L45" si="8">-10*LOG10((G25+1.96*J25)/(B25*3))</f>
        <v>7.7651279866383085</v>
      </c>
      <c r="M25" s="5">
        <f t="shared" ref="M25:M45" si="9">-10*LOG10((G25-1.96*J25)/(B25*3))</f>
        <v>7.9514767274620155</v>
      </c>
      <c r="N25" s="5">
        <f t="shared" ref="N25:N45" si="10">K25-L25</f>
        <v>9.2174956677886222E-2</v>
      </c>
      <c r="O25" s="5">
        <f t="shared" ref="O25:O45" si="11">M25-K25</f>
        <v>9.4173784145820782E-2</v>
      </c>
    </row>
    <row r="26" spans="1:15" ht="15.6" customHeight="1" x14ac:dyDescent="0.3">
      <c r="A26" s="3">
        <v>2</v>
      </c>
      <c r="B26" s="3">
        <v>200</v>
      </c>
      <c r="C26" s="3">
        <v>400</v>
      </c>
      <c r="D26" s="4">
        <v>0.01</v>
      </c>
      <c r="E26" s="3">
        <v>10</v>
      </c>
      <c r="F26" s="3">
        <v>0</v>
      </c>
      <c r="G26" s="4">
        <v>94.19</v>
      </c>
      <c r="H26" s="4">
        <v>22.71</v>
      </c>
      <c r="I26" s="4"/>
      <c r="J26" s="4">
        <f t="shared" si="6"/>
        <v>1.1355</v>
      </c>
      <c r="K26" s="5">
        <f t="shared" si="7"/>
        <v>8.0414645348622891</v>
      </c>
      <c r="L26" s="5">
        <f t="shared" si="8"/>
        <v>7.9400403223488443</v>
      </c>
      <c r="M26" s="5">
        <f t="shared" si="9"/>
        <v>8.1453141419484343</v>
      </c>
      <c r="N26" s="5">
        <f t="shared" si="10"/>
        <v>0.1014242125134448</v>
      </c>
      <c r="O26" s="5">
        <f t="shared" si="11"/>
        <v>0.10384960708614521</v>
      </c>
    </row>
    <row r="27" spans="1:15" ht="15.6" customHeight="1" x14ac:dyDescent="0.3">
      <c r="A27" s="3">
        <v>2</v>
      </c>
      <c r="B27" s="3">
        <v>200</v>
      </c>
      <c r="C27" s="3">
        <v>400</v>
      </c>
      <c r="D27" s="4">
        <v>0.02</v>
      </c>
      <c r="E27" s="3">
        <v>10</v>
      </c>
      <c r="F27" s="4">
        <v>0</v>
      </c>
      <c r="G27" s="4">
        <v>90.45</v>
      </c>
      <c r="H27" s="4">
        <v>22.71</v>
      </c>
      <c r="I27" s="4"/>
      <c r="J27" s="4">
        <f t="shared" si="6"/>
        <v>1.1355</v>
      </c>
      <c r="K27" s="5">
        <f t="shared" si="7"/>
        <v>8.2174267918781112</v>
      </c>
      <c r="L27" s="5">
        <f t="shared" si="8"/>
        <v>8.1118593768893437</v>
      </c>
      <c r="M27" s="5">
        <f t="shared" si="9"/>
        <v>8.3256243845651046</v>
      </c>
      <c r="N27" s="5">
        <f t="shared" si="10"/>
        <v>0.10556741498876754</v>
      </c>
      <c r="O27" s="5">
        <f t="shared" si="11"/>
        <v>0.10819759268699336</v>
      </c>
    </row>
    <row r="28" spans="1:15" ht="15.6" customHeight="1" x14ac:dyDescent="0.3">
      <c r="A28" s="3">
        <v>2</v>
      </c>
      <c r="B28" s="3">
        <v>200</v>
      </c>
      <c r="C28" s="3">
        <v>400</v>
      </c>
      <c r="D28" s="4">
        <v>0.03</v>
      </c>
      <c r="E28" s="3">
        <v>10</v>
      </c>
      <c r="F28" s="4">
        <v>0</v>
      </c>
      <c r="G28" s="4">
        <v>84.37</v>
      </c>
      <c r="H28" s="4">
        <v>22.44</v>
      </c>
      <c r="I28" s="4"/>
      <c r="J28" s="4">
        <f t="shared" si="6"/>
        <v>1.1220000000000001</v>
      </c>
      <c r="K28" s="5">
        <f t="shared" si="7"/>
        <v>8.5196320127643759</v>
      </c>
      <c r="L28" s="5">
        <f t="shared" si="8"/>
        <v>8.40788247572217</v>
      </c>
      <c r="M28" s="5">
        <f t="shared" si="9"/>
        <v>8.6343331235613618</v>
      </c>
      <c r="N28" s="5">
        <f t="shared" si="10"/>
        <v>0.11174953704220592</v>
      </c>
      <c r="O28" s="5">
        <f t="shared" si="11"/>
        <v>0.11470111079698597</v>
      </c>
    </row>
    <row r="29" spans="1:15" ht="15.6" customHeight="1" x14ac:dyDescent="0.3">
      <c r="A29" s="3">
        <v>2</v>
      </c>
      <c r="B29" s="3">
        <v>200</v>
      </c>
      <c r="C29" s="3">
        <v>400</v>
      </c>
      <c r="D29" s="4">
        <v>0.04</v>
      </c>
      <c r="E29" s="3">
        <v>10</v>
      </c>
      <c r="F29" s="4">
        <v>0</v>
      </c>
      <c r="G29" s="4">
        <v>77.64</v>
      </c>
      <c r="H29" s="4">
        <v>21.06</v>
      </c>
      <c r="I29" s="4"/>
      <c r="J29" s="4">
        <f t="shared" si="6"/>
        <v>1.0529999999999999</v>
      </c>
      <c r="K29" s="5">
        <f t="shared" si="7"/>
        <v>8.8806572366731853</v>
      </c>
      <c r="L29" s="5">
        <f t="shared" si="8"/>
        <v>8.7667178693515311</v>
      </c>
      <c r="M29" s="5">
        <f t="shared" si="9"/>
        <v>8.9976665846080799</v>
      </c>
      <c r="N29" s="5">
        <f t="shared" si="10"/>
        <v>0.11393936732165422</v>
      </c>
      <c r="O29" s="5">
        <f t="shared" si="11"/>
        <v>0.11700934793489459</v>
      </c>
    </row>
    <row r="30" spans="1:15" ht="15.6" customHeight="1" x14ac:dyDescent="0.3">
      <c r="A30" s="3">
        <v>2</v>
      </c>
      <c r="B30" s="3">
        <v>200</v>
      </c>
      <c r="C30" s="3">
        <v>400</v>
      </c>
      <c r="D30" s="4">
        <v>0.05</v>
      </c>
      <c r="E30" s="3">
        <v>10</v>
      </c>
      <c r="F30" s="4">
        <v>0</v>
      </c>
      <c r="G30" s="4">
        <v>70.94</v>
      </c>
      <c r="H30" s="4">
        <v>19.96</v>
      </c>
      <c r="I30" s="4"/>
      <c r="J30" s="4">
        <f t="shared" si="6"/>
        <v>0.998</v>
      </c>
      <c r="K30" s="5">
        <f t="shared" si="7"/>
        <v>9.2726006624771973</v>
      </c>
      <c r="L30" s="5">
        <f t="shared" si="8"/>
        <v>9.1544707570274184</v>
      </c>
      <c r="M30" s="5">
        <f t="shared" si="9"/>
        <v>9.3940338093797973</v>
      </c>
      <c r="N30" s="5">
        <f t="shared" si="10"/>
        <v>0.11812990544977886</v>
      </c>
      <c r="O30" s="5">
        <f t="shared" si="11"/>
        <v>0.12143314690259999</v>
      </c>
    </row>
    <row r="31" spans="1:15" ht="15.6" customHeight="1" x14ac:dyDescent="0.3">
      <c r="A31" s="3">
        <v>2</v>
      </c>
      <c r="B31" s="3">
        <v>200</v>
      </c>
      <c r="C31" s="3">
        <v>400</v>
      </c>
      <c r="D31" s="4">
        <v>0.06</v>
      </c>
      <c r="E31" s="3">
        <v>10</v>
      </c>
      <c r="F31" s="4">
        <v>0</v>
      </c>
      <c r="G31" s="4">
        <v>65.069999999999993</v>
      </c>
      <c r="H31" s="4">
        <v>17.559999999999999</v>
      </c>
      <c r="I31" s="4"/>
      <c r="J31" s="4">
        <f t="shared" si="6"/>
        <v>0.87799999999999989</v>
      </c>
      <c r="K31" s="5">
        <f t="shared" si="7"/>
        <v>9.6477044364978788</v>
      </c>
      <c r="L31" s="5">
        <f t="shared" si="8"/>
        <v>9.534340848553315</v>
      </c>
      <c r="M31" s="5">
        <f t="shared" si="9"/>
        <v>9.7641066402603887</v>
      </c>
      <c r="N31" s="5">
        <f t="shared" si="10"/>
        <v>0.1133635879445638</v>
      </c>
      <c r="O31" s="5">
        <f t="shared" si="11"/>
        <v>0.11640220376250987</v>
      </c>
    </row>
    <row r="32" spans="1:15" ht="15.6" customHeight="1" x14ac:dyDescent="0.3">
      <c r="A32" s="3">
        <v>2</v>
      </c>
      <c r="B32" s="3">
        <v>200</v>
      </c>
      <c r="C32" s="3">
        <v>400</v>
      </c>
      <c r="D32" s="4">
        <v>7.0000000000000007E-2</v>
      </c>
      <c r="E32" s="3">
        <v>10</v>
      </c>
      <c r="F32" s="4">
        <v>0</v>
      </c>
      <c r="G32" s="4">
        <v>62.88</v>
      </c>
      <c r="H32" s="4">
        <v>15.91</v>
      </c>
      <c r="I32" s="4"/>
      <c r="J32" s="4">
        <f t="shared" si="6"/>
        <v>0.79549999999999998</v>
      </c>
      <c r="K32" s="5">
        <f t="shared" si="7"/>
        <v>9.7963871735229215</v>
      </c>
      <c r="L32" s="5">
        <f t="shared" si="8"/>
        <v>9.6900124507564698</v>
      </c>
      <c r="M32" s="5">
        <f t="shared" si="9"/>
        <v>9.9054329664921745</v>
      </c>
      <c r="N32" s="5">
        <f t="shared" si="10"/>
        <v>0.10637472276645177</v>
      </c>
      <c r="O32" s="5">
        <f t="shared" si="11"/>
        <v>0.10904579296925299</v>
      </c>
    </row>
    <row r="33" spans="1:15" ht="15.6" customHeight="1" x14ac:dyDescent="0.3">
      <c r="A33" s="3">
        <v>2</v>
      </c>
      <c r="B33" s="3">
        <v>200</v>
      </c>
      <c r="C33" s="3">
        <v>400</v>
      </c>
      <c r="D33" s="4">
        <v>0.08</v>
      </c>
      <c r="E33" s="3">
        <v>10</v>
      </c>
      <c r="F33" s="3">
        <v>0</v>
      </c>
      <c r="G33" s="4">
        <v>64.86</v>
      </c>
      <c r="H33" s="4">
        <v>15.45</v>
      </c>
      <c r="I33" s="4"/>
      <c r="J33" s="4">
        <f t="shared" si="6"/>
        <v>0.77249999999999996</v>
      </c>
      <c r="K33" s="5">
        <f t="shared" si="7"/>
        <v>9.6617430604668968</v>
      </c>
      <c r="L33" s="5">
        <f t="shared" si="8"/>
        <v>9.5615260507277995</v>
      </c>
      <c r="M33" s="5">
        <f t="shared" si="9"/>
        <v>9.7643273953038054</v>
      </c>
      <c r="N33" s="5">
        <f t="shared" si="10"/>
        <v>0.10021700973909731</v>
      </c>
      <c r="O33" s="5">
        <f t="shared" si="11"/>
        <v>0.10258433483690865</v>
      </c>
    </row>
    <row r="34" spans="1:15" ht="15.6" customHeight="1" x14ac:dyDescent="0.3">
      <c r="A34" s="3">
        <v>2</v>
      </c>
      <c r="B34" s="3">
        <v>200</v>
      </c>
      <c r="C34" s="3">
        <v>400</v>
      </c>
      <c r="D34" s="4">
        <v>0.09</v>
      </c>
      <c r="E34" s="3">
        <v>10</v>
      </c>
      <c r="F34" s="4">
        <v>0</v>
      </c>
      <c r="G34" s="4">
        <v>65.66</v>
      </c>
      <c r="H34" s="4">
        <v>14.49</v>
      </c>
      <c r="I34" s="4"/>
      <c r="J34" s="4">
        <f t="shared" si="6"/>
        <v>0.72450000000000003</v>
      </c>
      <c r="K34" s="5">
        <f t="shared" si="7"/>
        <v>9.6085037199032239</v>
      </c>
      <c r="L34" s="5">
        <f t="shared" si="8"/>
        <v>9.5155806696408067</v>
      </c>
      <c r="M34" s="5">
        <f t="shared" si="9"/>
        <v>9.7034585332302825</v>
      </c>
      <c r="N34" s="5">
        <f t="shared" si="10"/>
        <v>9.2923050262417206E-2</v>
      </c>
      <c r="O34" s="5">
        <f t="shared" si="11"/>
        <v>9.4954813327058574E-2</v>
      </c>
    </row>
    <row r="35" spans="1:15" ht="15.6" customHeight="1" x14ac:dyDescent="0.3">
      <c r="A35" s="3">
        <v>2</v>
      </c>
      <c r="B35" s="3">
        <v>200</v>
      </c>
      <c r="C35" s="3">
        <v>400</v>
      </c>
      <c r="D35" s="4">
        <v>0.1</v>
      </c>
      <c r="E35" s="3">
        <v>10</v>
      </c>
      <c r="F35" s="3">
        <v>0</v>
      </c>
      <c r="G35" s="4">
        <v>67.239999999999995</v>
      </c>
      <c r="H35" s="4">
        <v>18.02</v>
      </c>
      <c r="I35" s="4"/>
      <c r="J35" s="4">
        <f t="shared" si="6"/>
        <v>0.90100000000000002</v>
      </c>
      <c r="K35" s="5">
        <f t="shared" si="7"/>
        <v>9.5052354561621026</v>
      </c>
      <c r="L35" s="5">
        <f t="shared" si="8"/>
        <v>9.392646482937808</v>
      </c>
      <c r="M35" s="5">
        <f t="shared" si="9"/>
        <v>9.620821109955628</v>
      </c>
      <c r="N35" s="5">
        <f t="shared" si="10"/>
        <v>0.11258897322429462</v>
      </c>
      <c r="O35" s="5">
        <f t="shared" si="11"/>
        <v>0.11558565379352537</v>
      </c>
    </row>
    <row r="36" spans="1:15" ht="15.6" customHeight="1" x14ac:dyDescent="0.3">
      <c r="A36" s="3">
        <v>2</v>
      </c>
      <c r="B36" s="3">
        <v>200</v>
      </c>
      <c r="C36" s="3">
        <v>400</v>
      </c>
      <c r="D36" s="4">
        <v>0.11</v>
      </c>
      <c r="E36" s="3">
        <v>10</v>
      </c>
      <c r="F36" s="3">
        <v>0</v>
      </c>
      <c r="G36" s="4">
        <v>69.47</v>
      </c>
      <c r="H36" s="4">
        <v>13.84</v>
      </c>
      <c r="I36" s="4"/>
      <c r="J36" s="4">
        <f t="shared" si="6"/>
        <v>0.69199999999999995</v>
      </c>
      <c r="K36" s="5">
        <f t="shared" si="7"/>
        <v>9.3635395150928833</v>
      </c>
      <c r="L36" s="5">
        <f t="shared" si="8"/>
        <v>9.2795657310893755</v>
      </c>
      <c r="M36" s="5">
        <f t="shared" si="9"/>
        <v>9.4491690569758031</v>
      </c>
      <c r="N36" s="5">
        <f t="shared" si="10"/>
        <v>8.3973784003507745E-2</v>
      </c>
      <c r="O36" s="5">
        <f t="shared" si="11"/>
        <v>8.5629541882919824E-2</v>
      </c>
    </row>
    <row r="37" spans="1:15" ht="15.6" customHeight="1" x14ac:dyDescent="0.3">
      <c r="A37" s="3">
        <v>2</v>
      </c>
      <c r="B37" s="3">
        <v>200</v>
      </c>
      <c r="C37" s="3">
        <v>400</v>
      </c>
      <c r="D37" s="4">
        <v>0.12</v>
      </c>
      <c r="E37" s="3">
        <v>10</v>
      </c>
      <c r="F37" s="4">
        <v>0</v>
      </c>
      <c r="G37" s="4">
        <v>72.39</v>
      </c>
      <c r="H37" s="4">
        <v>13.29</v>
      </c>
      <c r="I37" s="4"/>
      <c r="J37" s="4">
        <f t="shared" si="6"/>
        <v>0.66449999999999998</v>
      </c>
      <c r="K37" s="5">
        <f t="shared" si="7"/>
        <v>9.1847267375519532</v>
      </c>
      <c r="L37" s="5">
        <f t="shared" si="8"/>
        <v>9.1072843174402323</v>
      </c>
      <c r="M37" s="5">
        <f t="shared" si="9"/>
        <v>9.2635752038012438</v>
      </c>
      <c r="N37" s="5">
        <f t="shared" si="10"/>
        <v>7.7442420111720978E-2</v>
      </c>
      <c r="O37" s="5">
        <f t="shared" si="11"/>
        <v>7.8848466249290539E-2</v>
      </c>
    </row>
    <row r="38" spans="1:15" ht="15.6" customHeight="1" x14ac:dyDescent="0.3">
      <c r="A38" s="3">
        <v>2</v>
      </c>
      <c r="B38" s="3">
        <v>200</v>
      </c>
      <c r="C38" s="3">
        <v>400</v>
      </c>
      <c r="D38" s="4">
        <v>0.13</v>
      </c>
      <c r="E38" s="3">
        <v>10</v>
      </c>
      <c r="F38" s="4">
        <v>0</v>
      </c>
      <c r="G38" s="4">
        <v>78.12</v>
      </c>
      <c r="H38" s="4">
        <v>15.96</v>
      </c>
      <c r="I38" s="4"/>
      <c r="J38" s="4">
        <f t="shared" si="6"/>
        <v>0.79800000000000004</v>
      </c>
      <c r="K38" s="5">
        <f t="shared" si="7"/>
        <v>8.8538901576782685</v>
      </c>
      <c r="L38" s="5">
        <f t="shared" si="8"/>
        <v>8.7677968756686866</v>
      </c>
      <c r="M38" s="5">
        <f t="shared" si="9"/>
        <v>8.9417247045161261</v>
      </c>
      <c r="N38" s="5">
        <f t="shared" si="10"/>
        <v>8.6093282009581884E-2</v>
      </c>
      <c r="O38" s="5">
        <f t="shared" si="11"/>
        <v>8.783454683785763E-2</v>
      </c>
    </row>
    <row r="39" spans="1:15" ht="15.6" customHeight="1" x14ac:dyDescent="0.3">
      <c r="A39" s="3">
        <v>2</v>
      </c>
      <c r="B39" s="3">
        <v>200</v>
      </c>
      <c r="C39" s="3">
        <v>400</v>
      </c>
      <c r="D39" s="4">
        <v>0.14000000000000001</v>
      </c>
      <c r="E39" s="3">
        <v>10</v>
      </c>
      <c r="F39" s="4">
        <v>0</v>
      </c>
      <c r="G39" s="4">
        <v>84.78</v>
      </c>
      <c r="H39" s="4">
        <v>14.95</v>
      </c>
      <c r="I39" s="4"/>
      <c r="J39" s="4">
        <f t="shared" si="6"/>
        <v>0.74749999999999994</v>
      </c>
      <c r="K39" s="5">
        <f t="shared" si="7"/>
        <v>8.4985783815144131</v>
      </c>
      <c r="L39" s="5">
        <f t="shared" si="8"/>
        <v>8.42416820301084</v>
      </c>
      <c r="M39" s="5">
        <f t="shared" si="9"/>
        <v>8.5742857299712547</v>
      </c>
      <c r="N39" s="5">
        <f t="shared" si="10"/>
        <v>7.4410178503573121E-2</v>
      </c>
      <c r="O39" s="5">
        <f t="shared" si="11"/>
        <v>7.5707348456841572E-2</v>
      </c>
    </row>
    <row r="40" spans="1:15" ht="15.6" customHeight="1" x14ac:dyDescent="0.3">
      <c r="A40" s="3">
        <v>2</v>
      </c>
      <c r="B40" s="3">
        <v>200</v>
      </c>
      <c r="C40" s="3">
        <v>400</v>
      </c>
      <c r="D40" s="4">
        <v>0.15</v>
      </c>
      <c r="E40" s="3">
        <v>10</v>
      </c>
      <c r="F40" s="4">
        <v>0</v>
      </c>
      <c r="G40" s="4">
        <v>94.27</v>
      </c>
      <c r="H40" s="4">
        <v>15.12</v>
      </c>
      <c r="I40" s="4"/>
      <c r="J40" s="4">
        <f t="shared" si="6"/>
        <v>0.75600000000000001</v>
      </c>
      <c r="K40" s="5">
        <f t="shared" si="7"/>
        <v>8.0377774330222049</v>
      </c>
      <c r="L40" s="5">
        <f t="shared" si="8"/>
        <v>7.9700448496216536</v>
      </c>
      <c r="M40" s="5">
        <f t="shared" si="9"/>
        <v>8.1065831324607274</v>
      </c>
      <c r="N40" s="5">
        <f t="shared" si="10"/>
        <v>6.7732583400551327E-2</v>
      </c>
      <c r="O40" s="5">
        <f t="shared" si="11"/>
        <v>6.8805699438522439E-2</v>
      </c>
    </row>
    <row r="41" spans="1:15" ht="15.6" customHeight="1" x14ac:dyDescent="0.3">
      <c r="A41" s="3">
        <v>2</v>
      </c>
      <c r="B41" s="3">
        <v>200</v>
      </c>
      <c r="C41" s="3">
        <v>400</v>
      </c>
      <c r="D41" s="4">
        <v>0.16</v>
      </c>
      <c r="E41" s="3">
        <v>10</v>
      </c>
      <c r="F41" s="4">
        <v>0</v>
      </c>
      <c r="G41" s="4">
        <v>105.19</v>
      </c>
      <c r="H41" s="4">
        <v>16.36</v>
      </c>
      <c r="I41" s="4"/>
      <c r="J41" s="4">
        <f t="shared" si="6"/>
        <v>0.81799999999999995</v>
      </c>
      <c r="K41" s="5">
        <f t="shared" si="7"/>
        <v>7.5617679527358339</v>
      </c>
      <c r="L41" s="5">
        <f t="shared" si="8"/>
        <v>7.4960732494521576</v>
      </c>
      <c r="M41" s="5">
        <f t="shared" si="9"/>
        <v>7.6284716872347644</v>
      </c>
      <c r="N41" s="5">
        <f t="shared" si="10"/>
        <v>6.5694703283676326E-2</v>
      </c>
      <c r="O41" s="5">
        <f t="shared" si="11"/>
        <v>6.6703734498930523E-2</v>
      </c>
    </row>
    <row r="42" spans="1:15" ht="15.6" customHeight="1" x14ac:dyDescent="0.3">
      <c r="A42" s="3">
        <v>2</v>
      </c>
      <c r="B42" s="3">
        <v>200</v>
      </c>
      <c r="C42" s="3">
        <v>400</v>
      </c>
      <c r="D42" s="4">
        <v>0.17</v>
      </c>
      <c r="E42" s="3">
        <v>10</v>
      </c>
      <c r="F42" s="4">
        <v>0</v>
      </c>
      <c r="G42" s="4">
        <v>117.81</v>
      </c>
      <c r="H42" s="4">
        <v>17.579999999999998</v>
      </c>
      <c r="I42" s="4"/>
      <c r="J42" s="4">
        <f t="shared" si="6"/>
        <v>0.87899999999999989</v>
      </c>
      <c r="K42" s="5">
        <f t="shared" si="7"/>
        <v>7.0696909439356297</v>
      </c>
      <c r="L42" s="5">
        <f t="shared" si="8"/>
        <v>7.0066401228416817</v>
      </c>
      <c r="M42" s="5">
        <f t="shared" si="9"/>
        <v>7.1336706380205683</v>
      </c>
      <c r="N42" s="5">
        <f t="shared" si="10"/>
        <v>6.3050821093947995E-2</v>
      </c>
      <c r="O42" s="5">
        <f t="shared" si="11"/>
        <v>6.3979694084938643E-2</v>
      </c>
    </row>
    <row r="43" spans="1:15" ht="15.6" customHeight="1" x14ac:dyDescent="0.3">
      <c r="A43" s="3">
        <v>2</v>
      </c>
      <c r="B43" s="3">
        <v>200</v>
      </c>
      <c r="C43" s="3">
        <v>400</v>
      </c>
      <c r="D43" s="4">
        <v>0.18</v>
      </c>
      <c r="E43" s="3">
        <v>10</v>
      </c>
      <c r="F43" s="4">
        <v>0</v>
      </c>
      <c r="G43" s="4">
        <v>134.59</v>
      </c>
      <c r="H43" s="4">
        <v>23.13</v>
      </c>
      <c r="I43" s="4"/>
      <c r="J43" s="4">
        <f t="shared" si="6"/>
        <v>1.1564999999999999</v>
      </c>
      <c r="K43" s="5">
        <f t="shared" si="7"/>
        <v>6.4913845725760861</v>
      </c>
      <c r="L43" s="5">
        <f t="shared" si="8"/>
        <v>6.4188505972461858</v>
      </c>
      <c r="M43" s="5">
        <f t="shared" si="9"/>
        <v>6.5651505848827227</v>
      </c>
      <c r="N43" s="5">
        <f t="shared" si="10"/>
        <v>7.2533975329900358E-2</v>
      </c>
      <c r="O43" s="5">
        <f t="shared" si="11"/>
        <v>7.3766012306636597E-2</v>
      </c>
    </row>
    <row r="44" spans="1:15" ht="15.6" customHeight="1" x14ac:dyDescent="0.3">
      <c r="A44" s="3">
        <v>2</v>
      </c>
      <c r="B44" s="3">
        <v>200</v>
      </c>
      <c r="C44" s="3">
        <v>400</v>
      </c>
      <c r="D44" s="4">
        <v>0.19</v>
      </c>
      <c r="E44" s="3">
        <v>10</v>
      </c>
      <c r="F44" s="4">
        <v>0</v>
      </c>
      <c r="G44" s="4">
        <v>152.72</v>
      </c>
      <c r="H44" s="4">
        <v>21.65</v>
      </c>
      <c r="I44" s="4"/>
      <c r="J44" s="4">
        <f t="shared" si="6"/>
        <v>1.0825</v>
      </c>
      <c r="K44" s="5">
        <f t="shared" si="7"/>
        <v>5.9425533499803329</v>
      </c>
      <c r="L44" s="5">
        <f t="shared" si="8"/>
        <v>5.8826331961113629</v>
      </c>
      <c r="M44" s="5">
        <f t="shared" si="9"/>
        <v>6.0033118094118167</v>
      </c>
      <c r="N44" s="5">
        <f t="shared" si="10"/>
        <v>5.9920153868969983E-2</v>
      </c>
      <c r="O44" s="5">
        <f t="shared" si="11"/>
        <v>6.0758459431483836E-2</v>
      </c>
    </row>
    <row r="45" spans="1:15" ht="15.6" customHeight="1" x14ac:dyDescent="0.3">
      <c r="A45" s="3">
        <v>2</v>
      </c>
      <c r="B45" s="3">
        <v>200</v>
      </c>
      <c r="C45" s="3">
        <v>400</v>
      </c>
      <c r="D45" s="4">
        <v>0.2</v>
      </c>
      <c r="E45" s="3">
        <v>10</v>
      </c>
      <c r="F45" s="4">
        <v>0</v>
      </c>
      <c r="G45" s="4">
        <v>165.49</v>
      </c>
      <c r="H45" s="4">
        <v>19.61</v>
      </c>
      <c r="I45" s="4"/>
      <c r="J45" s="4">
        <f t="shared" si="6"/>
        <v>0.98049999999999993</v>
      </c>
      <c r="K45" s="5">
        <f t="shared" si="7"/>
        <v>5.5937949442315151</v>
      </c>
      <c r="L45" s="5">
        <f t="shared" si="8"/>
        <v>5.5436523633812138</v>
      </c>
      <c r="M45" s="5">
        <f t="shared" si="9"/>
        <v>5.6445232280472997</v>
      </c>
      <c r="N45" s="5">
        <f t="shared" si="10"/>
        <v>5.0142580850301322E-2</v>
      </c>
      <c r="O45" s="5">
        <f t="shared" si="11"/>
        <v>5.0728283815784536E-2</v>
      </c>
    </row>
    <row r="46" spans="1:15" ht="15.6" customHeight="1" x14ac:dyDescent="0.3">
      <c r="A46" s="13" t="s">
        <v>16</v>
      </c>
      <c r="B46" s="7"/>
      <c r="C46" s="7"/>
      <c r="D46" s="8"/>
      <c r="E46" s="7"/>
      <c r="F46" s="8"/>
      <c r="G46" s="8"/>
      <c r="H46" s="8"/>
      <c r="I46" s="8"/>
      <c r="J46" s="9"/>
      <c r="K46" s="10"/>
      <c r="L46" s="10"/>
      <c r="M46" s="10"/>
      <c r="N46" s="10"/>
      <c r="O46" s="10"/>
    </row>
    <row r="47" spans="1:15" ht="15.6" customHeight="1" x14ac:dyDescent="0.3">
      <c r="A47" s="1">
        <v>3</v>
      </c>
      <c r="B47" s="1">
        <v>200</v>
      </c>
      <c r="C47" s="1">
        <v>400</v>
      </c>
      <c r="D47" s="2">
        <v>0</v>
      </c>
      <c r="E47" s="1">
        <v>10</v>
      </c>
      <c r="F47" s="2">
        <v>0</v>
      </c>
      <c r="G47" s="2">
        <v>94.77</v>
      </c>
      <c r="H47" s="2">
        <v>26.62</v>
      </c>
      <c r="J47" s="4">
        <f t="shared" ref="J47:J67" si="12">H47/SQRT(C47)</f>
        <v>1.331</v>
      </c>
      <c r="K47" s="5">
        <f t="shared" ref="K47:K67" si="13">-10*LOG10(G47/(B47*3))</f>
        <v>8.0148036975883219</v>
      </c>
      <c r="L47" s="5">
        <f t="shared" ref="L47:L67" si="14">-10*LOG10((G47+1.96*J47)/(B47*3))</f>
        <v>7.8968701035025477</v>
      </c>
      <c r="M47" s="5">
        <f t="shared" ref="M47:M67" si="15">-10*LOG10((G47-1.96*J47)/(B47*3))</f>
        <v>8.1360294097188195</v>
      </c>
      <c r="N47" s="5">
        <f t="shared" ref="N47:N67" si="16">K47-L47</f>
        <v>0.1179335940857742</v>
      </c>
      <c r="O47" s="5">
        <f t="shared" ref="O47:O67" si="17">M47-K47</f>
        <v>0.1212257121304976</v>
      </c>
    </row>
    <row r="48" spans="1:15" ht="15.6" customHeight="1" x14ac:dyDescent="0.3">
      <c r="A48" s="1">
        <v>3</v>
      </c>
      <c r="B48" s="1">
        <v>200</v>
      </c>
      <c r="C48" s="1">
        <v>400</v>
      </c>
      <c r="D48" s="2">
        <v>0.01</v>
      </c>
      <c r="E48" s="1">
        <v>10</v>
      </c>
      <c r="F48" s="2">
        <v>0</v>
      </c>
      <c r="G48" s="2">
        <v>90.44</v>
      </c>
      <c r="H48" s="2">
        <v>27.74</v>
      </c>
      <c r="J48" s="4">
        <f t="shared" si="12"/>
        <v>1.387</v>
      </c>
      <c r="K48" s="5">
        <f t="shared" si="13"/>
        <v>8.2179069671032163</v>
      </c>
      <c r="L48" s="5">
        <f t="shared" si="14"/>
        <v>8.0892867005877314</v>
      </c>
      <c r="M48" s="5">
        <f t="shared" si="15"/>
        <v>8.3504530008209095</v>
      </c>
      <c r="N48" s="5">
        <f t="shared" si="16"/>
        <v>0.12862026651548497</v>
      </c>
      <c r="O48" s="5">
        <f t="shared" si="17"/>
        <v>0.13254603371769313</v>
      </c>
    </row>
    <row r="49" spans="1:15" ht="15.6" customHeight="1" x14ac:dyDescent="0.3">
      <c r="A49" s="1">
        <v>3</v>
      </c>
      <c r="B49" s="1">
        <v>200</v>
      </c>
      <c r="C49" s="1">
        <v>400</v>
      </c>
      <c r="D49" s="2">
        <v>0.02</v>
      </c>
      <c r="E49" s="1">
        <v>10</v>
      </c>
      <c r="F49" s="2">
        <v>0</v>
      </c>
      <c r="G49" s="2">
        <v>89.23</v>
      </c>
      <c r="H49" s="2">
        <v>24.62</v>
      </c>
      <c r="J49" s="4">
        <f t="shared" si="12"/>
        <v>1.2310000000000001</v>
      </c>
      <c r="K49" s="5">
        <f t="shared" si="13"/>
        <v>8.2764035739764701</v>
      </c>
      <c r="L49" s="5">
        <f t="shared" si="14"/>
        <v>8.160530900461179</v>
      </c>
      <c r="M49" s="5">
        <f t="shared" si="15"/>
        <v>8.3954527528297813</v>
      </c>
      <c r="N49" s="5">
        <f t="shared" si="16"/>
        <v>0.11587267351529107</v>
      </c>
      <c r="O49" s="5">
        <f t="shared" si="17"/>
        <v>0.11904917885331123</v>
      </c>
    </row>
    <row r="50" spans="1:15" ht="15.6" customHeight="1" x14ac:dyDescent="0.3">
      <c r="A50" s="1">
        <v>3</v>
      </c>
      <c r="B50" s="1">
        <v>200</v>
      </c>
      <c r="C50" s="1">
        <v>400</v>
      </c>
      <c r="D50" s="2">
        <v>0.03</v>
      </c>
      <c r="E50" s="1">
        <v>10</v>
      </c>
      <c r="F50" s="2">
        <v>0</v>
      </c>
      <c r="G50" s="2">
        <v>86.78</v>
      </c>
      <c r="H50" s="2">
        <v>23.92</v>
      </c>
      <c r="J50" s="4">
        <f t="shared" si="12"/>
        <v>1.1960000000000002</v>
      </c>
      <c r="K50" s="5">
        <f t="shared" si="13"/>
        <v>8.3973160459045051</v>
      </c>
      <c r="L50" s="5">
        <f t="shared" si="14"/>
        <v>8.2815580075327517</v>
      </c>
      <c r="M50" s="5">
        <f t="shared" si="15"/>
        <v>8.5162442211881526</v>
      </c>
      <c r="N50" s="5">
        <f t="shared" si="16"/>
        <v>0.11575803837175336</v>
      </c>
      <c r="O50" s="5">
        <f t="shared" si="17"/>
        <v>0.11892817528364752</v>
      </c>
    </row>
    <row r="51" spans="1:15" ht="15.6" customHeight="1" x14ac:dyDescent="0.3">
      <c r="A51" s="1">
        <v>3</v>
      </c>
      <c r="B51" s="1">
        <v>200</v>
      </c>
      <c r="C51" s="1">
        <v>400</v>
      </c>
      <c r="D51" s="2">
        <v>0.04</v>
      </c>
      <c r="E51" s="1">
        <v>10</v>
      </c>
      <c r="F51" s="2">
        <v>0</v>
      </c>
      <c r="G51" s="2">
        <v>82.04</v>
      </c>
      <c r="H51" s="2">
        <v>22.22</v>
      </c>
      <c r="J51" s="4">
        <f t="shared" si="12"/>
        <v>1.111</v>
      </c>
      <c r="K51" s="5">
        <f t="shared" si="13"/>
        <v>8.6412559868731478</v>
      </c>
      <c r="L51" s="5">
        <f t="shared" si="14"/>
        <v>8.5274859574877411</v>
      </c>
      <c r="M51" s="5">
        <f t="shared" si="15"/>
        <v>8.7580867552522772</v>
      </c>
      <c r="N51" s="5">
        <f t="shared" si="16"/>
        <v>0.1137700293854067</v>
      </c>
      <c r="O51" s="5">
        <f t="shared" si="17"/>
        <v>0.11683076837912942</v>
      </c>
    </row>
    <row r="52" spans="1:15" ht="15.6" customHeight="1" x14ac:dyDescent="0.3">
      <c r="A52" s="1">
        <v>3</v>
      </c>
      <c r="B52" s="1">
        <v>200</v>
      </c>
      <c r="C52" s="1">
        <v>400</v>
      </c>
      <c r="D52" s="2">
        <v>0.05</v>
      </c>
      <c r="E52" s="1">
        <v>10</v>
      </c>
      <c r="F52" s="2">
        <v>0</v>
      </c>
      <c r="G52" s="2">
        <v>78.17</v>
      </c>
      <c r="H52" s="2">
        <v>22.87</v>
      </c>
      <c r="J52" s="4">
        <f t="shared" si="12"/>
        <v>1.1435</v>
      </c>
      <c r="K52" s="5">
        <f t="shared" si="13"/>
        <v>8.8511113842652573</v>
      </c>
      <c r="L52" s="5">
        <f t="shared" si="14"/>
        <v>8.7283438305974901</v>
      </c>
      <c r="M52" s="5">
        <f t="shared" si="15"/>
        <v>8.9774505734870758</v>
      </c>
      <c r="N52" s="5">
        <f t="shared" si="16"/>
        <v>0.12276755366776726</v>
      </c>
      <c r="O52" s="5">
        <f t="shared" si="17"/>
        <v>0.12633918922181842</v>
      </c>
    </row>
    <row r="53" spans="1:15" ht="15.6" customHeight="1" x14ac:dyDescent="0.3">
      <c r="A53" s="1">
        <v>3</v>
      </c>
      <c r="B53" s="1">
        <v>200</v>
      </c>
      <c r="C53" s="1">
        <v>400</v>
      </c>
      <c r="D53" s="2">
        <v>0.06</v>
      </c>
      <c r="E53" s="1">
        <v>10</v>
      </c>
      <c r="F53" s="2">
        <v>0</v>
      </c>
      <c r="G53" s="2">
        <v>75.56</v>
      </c>
      <c r="H53" s="2">
        <v>19.38</v>
      </c>
      <c r="J53" s="4">
        <f t="shared" si="12"/>
        <v>0.96899999999999997</v>
      </c>
      <c r="K53" s="5">
        <f t="shared" si="13"/>
        <v>8.9985930113384764</v>
      </c>
      <c r="L53" s="5">
        <f t="shared" si="14"/>
        <v>8.8907801884157696</v>
      </c>
      <c r="M53" s="5">
        <f t="shared" si="15"/>
        <v>9.1091505497819618</v>
      </c>
      <c r="N53" s="5">
        <f t="shared" si="16"/>
        <v>0.10781282292270689</v>
      </c>
      <c r="O53" s="5">
        <f t="shared" si="17"/>
        <v>0.11055753844348537</v>
      </c>
    </row>
    <row r="54" spans="1:15" ht="15.6" customHeight="1" x14ac:dyDescent="0.3">
      <c r="A54" s="1">
        <v>3</v>
      </c>
      <c r="B54" s="1">
        <v>200</v>
      </c>
      <c r="C54" s="1">
        <v>400</v>
      </c>
      <c r="D54" s="2">
        <v>7.0000000000000007E-2</v>
      </c>
      <c r="E54" s="1">
        <v>10</v>
      </c>
      <c r="F54" s="2">
        <v>0</v>
      </c>
      <c r="G54" s="2">
        <v>77.349999999999994</v>
      </c>
      <c r="H54" s="2">
        <v>18.920000000000002</v>
      </c>
      <c r="J54" s="4">
        <f t="shared" si="12"/>
        <v>0.94600000000000006</v>
      </c>
      <c r="K54" s="5">
        <f t="shared" si="13"/>
        <v>8.8969093234825731</v>
      </c>
      <c r="L54" s="5">
        <f t="shared" si="14"/>
        <v>8.7940325796588485</v>
      </c>
      <c r="M54" s="5">
        <f t="shared" si="15"/>
        <v>9.0022822875206554</v>
      </c>
      <c r="N54" s="5">
        <f t="shared" si="16"/>
        <v>0.10287674382372458</v>
      </c>
      <c r="O54" s="5">
        <f t="shared" si="17"/>
        <v>0.10537296403808227</v>
      </c>
    </row>
    <row r="55" spans="1:15" ht="15.6" customHeight="1" x14ac:dyDescent="0.3">
      <c r="A55" s="1">
        <v>3</v>
      </c>
      <c r="B55" s="1">
        <v>200</v>
      </c>
      <c r="C55" s="1">
        <v>400</v>
      </c>
      <c r="D55" s="2">
        <v>0.08</v>
      </c>
      <c r="E55" s="1">
        <v>10</v>
      </c>
      <c r="F55" s="2">
        <v>0</v>
      </c>
      <c r="G55" s="2">
        <v>83.34</v>
      </c>
      <c r="H55" s="2">
        <v>19.55</v>
      </c>
      <c r="J55" s="4">
        <f t="shared" si="12"/>
        <v>0.97750000000000004</v>
      </c>
      <c r="K55" s="5">
        <f t="shared" si="13"/>
        <v>8.5729775426238444</v>
      </c>
      <c r="L55" s="5">
        <f t="shared" si="14"/>
        <v>8.4742680701494493</v>
      </c>
      <c r="M55" s="5">
        <f t="shared" si="15"/>
        <v>8.673982834807072</v>
      </c>
      <c r="N55" s="5">
        <f t="shared" si="16"/>
        <v>9.8709472474395099E-2</v>
      </c>
      <c r="O55" s="5">
        <f t="shared" si="17"/>
        <v>0.10100529218322762</v>
      </c>
    </row>
    <row r="56" spans="1:15" ht="15.6" customHeight="1" x14ac:dyDescent="0.3">
      <c r="A56" s="1">
        <v>3</v>
      </c>
      <c r="B56" s="1">
        <v>200</v>
      </c>
      <c r="C56" s="1">
        <v>400</v>
      </c>
      <c r="D56" s="2">
        <v>0.09</v>
      </c>
      <c r="E56" s="1">
        <v>10</v>
      </c>
      <c r="F56" s="2">
        <v>0</v>
      </c>
      <c r="G56" s="2">
        <v>83.99</v>
      </c>
      <c r="H56" s="2">
        <v>18.670000000000002</v>
      </c>
      <c r="J56" s="4">
        <f t="shared" si="12"/>
        <v>0.93350000000000011</v>
      </c>
      <c r="K56" s="5">
        <f t="shared" si="13"/>
        <v>8.53923669123526</v>
      </c>
      <c r="L56" s="5">
        <f t="shared" si="14"/>
        <v>8.4456446076979592</v>
      </c>
      <c r="M56" s="5">
        <f t="shared" si="15"/>
        <v>8.6348902257170614</v>
      </c>
      <c r="N56" s="5">
        <f t="shared" si="16"/>
        <v>9.3592083537300752E-2</v>
      </c>
      <c r="O56" s="5">
        <f t="shared" si="17"/>
        <v>9.5653534481801472E-2</v>
      </c>
    </row>
    <row r="57" spans="1:15" ht="15.6" customHeight="1" x14ac:dyDescent="0.3">
      <c r="A57" s="1">
        <v>3</v>
      </c>
      <c r="B57" s="1">
        <v>200</v>
      </c>
      <c r="C57" s="1">
        <v>400</v>
      </c>
      <c r="D57" s="2">
        <v>0.1</v>
      </c>
      <c r="E57" s="1">
        <v>10</v>
      </c>
      <c r="F57" s="2">
        <v>0</v>
      </c>
      <c r="G57" s="2">
        <v>86.42</v>
      </c>
      <c r="H57" s="2">
        <v>18.07</v>
      </c>
      <c r="J57" s="4">
        <f t="shared" si="12"/>
        <v>0.90349999999999997</v>
      </c>
      <c r="K57" s="5">
        <f t="shared" si="13"/>
        <v>8.4153698840843223</v>
      </c>
      <c r="L57" s="5">
        <f t="shared" si="14"/>
        <v>8.3272767270366295</v>
      </c>
      <c r="M57" s="5">
        <f t="shared" si="15"/>
        <v>8.5052870016729791</v>
      </c>
      <c r="N57" s="5">
        <f t="shared" si="16"/>
        <v>8.8093157047692827E-2</v>
      </c>
      <c r="O57" s="5">
        <f t="shared" si="17"/>
        <v>8.9917117588656836E-2</v>
      </c>
    </row>
    <row r="58" spans="1:15" ht="15.6" customHeight="1" x14ac:dyDescent="0.3">
      <c r="A58" s="1">
        <v>3</v>
      </c>
      <c r="B58" s="1">
        <v>200</v>
      </c>
      <c r="C58" s="1">
        <v>400</v>
      </c>
      <c r="D58" s="2">
        <v>0.11</v>
      </c>
      <c r="E58" s="1">
        <v>10</v>
      </c>
      <c r="F58" s="2">
        <v>0</v>
      </c>
      <c r="G58" s="2">
        <v>89.95</v>
      </c>
      <c r="H58" s="2">
        <v>18.3</v>
      </c>
      <c r="J58" s="4">
        <f t="shared" si="12"/>
        <v>0.91500000000000004</v>
      </c>
      <c r="K58" s="5">
        <f t="shared" si="13"/>
        <v>8.2415008270207348</v>
      </c>
      <c r="L58" s="5">
        <f t="shared" si="14"/>
        <v>8.1557641938518586</v>
      </c>
      <c r="M58" s="5">
        <f t="shared" si="15"/>
        <v>8.3289641830552412</v>
      </c>
      <c r="N58" s="5">
        <f t="shared" si="16"/>
        <v>8.5736633168876253E-2</v>
      </c>
      <c r="O58" s="5">
        <f t="shared" si="17"/>
        <v>8.746335603450639E-2</v>
      </c>
    </row>
    <row r="59" spans="1:15" ht="15.6" customHeight="1" x14ac:dyDescent="0.3">
      <c r="A59" s="1">
        <v>3</v>
      </c>
      <c r="B59" s="1">
        <v>200</v>
      </c>
      <c r="C59" s="1">
        <v>400</v>
      </c>
      <c r="D59" s="2">
        <v>0.12</v>
      </c>
      <c r="E59" s="1">
        <v>10</v>
      </c>
      <c r="F59" s="2">
        <v>0</v>
      </c>
      <c r="G59" s="2">
        <v>89.72</v>
      </c>
      <c r="H59" s="2">
        <v>16.82</v>
      </c>
      <c r="J59" s="4">
        <f t="shared" si="12"/>
        <v>0.84099999999999997</v>
      </c>
      <c r="K59" s="5">
        <f t="shared" si="13"/>
        <v>8.2526198547271363</v>
      </c>
      <c r="L59" s="5">
        <f t="shared" si="14"/>
        <v>8.173554206928701</v>
      </c>
      <c r="M59" s="5">
        <f t="shared" si="15"/>
        <v>8.3331516687886413</v>
      </c>
      <c r="N59" s="5">
        <f t="shared" si="16"/>
        <v>7.9065647798435279E-2</v>
      </c>
      <c r="O59" s="5">
        <f t="shared" si="17"/>
        <v>8.0531814061505003E-2</v>
      </c>
    </row>
    <row r="60" spans="1:15" ht="15.6" customHeight="1" x14ac:dyDescent="0.3">
      <c r="A60" s="1">
        <v>3</v>
      </c>
      <c r="B60" s="1">
        <v>200</v>
      </c>
      <c r="C60" s="1">
        <v>400</v>
      </c>
      <c r="D60" s="2">
        <v>0.13</v>
      </c>
      <c r="E60" s="1">
        <v>10</v>
      </c>
      <c r="F60" s="2">
        <v>0</v>
      </c>
      <c r="G60" s="2">
        <v>96.19</v>
      </c>
      <c r="H60" s="2">
        <v>17.05</v>
      </c>
      <c r="J60" s="4">
        <f t="shared" si="12"/>
        <v>0.85250000000000004</v>
      </c>
      <c r="K60" s="5">
        <f t="shared" si="13"/>
        <v>7.9502132564894357</v>
      </c>
      <c r="L60" s="5">
        <f t="shared" si="14"/>
        <v>7.8754204485348698</v>
      </c>
      <c r="M60" s="5">
        <f t="shared" si="15"/>
        <v>8.026316727057349</v>
      </c>
      <c r="N60" s="5">
        <f t="shared" si="16"/>
        <v>7.4792807954565887E-2</v>
      </c>
      <c r="O60" s="5">
        <f t="shared" si="17"/>
        <v>7.6103470567913334E-2</v>
      </c>
    </row>
    <row r="61" spans="1:15" ht="15.6" customHeight="1" x14ac:dyDescent="0.3">
      <c r="A61" s="1">
        <v>3</v>
      </c>
      <c r="B61" s="1">
        <v>200</v>
      </c>
      <c r="C61" s="1">
        <v>400</v>
      </c>
      <c r="D61" s="2">
        <v>0.14000000000000001</v>
      </c>
      <c r="E61" s="1">
        <v>10</v>
      </c>
      <c r="F61" s="2">
        <v>0</v>
      </c>
      <c r="G61" s="2">
        <v>101.89</v>
      </c>
      <c r="H61" s="2">
        <v>17.96</v>
      </c>
      <c r="J61" s="4">
        <f t="shared" si="12"/>
        <v>0.89800000000000002</v>
      </c>
      <c r="K61" s="5">
        <f t="shared" si="13"/>
        <v>7.7001968814298118</v>
      </c>
      <c r="L61" s="5">
        <f t="shared" si="14"/>
        <v>7.625816087531355</v>
      </c>
      <c r="M61" s="5">
        <f t="shared" si="15"/>
        <v>7.7758738120291229</v>
      </c>
      <c r="N61" s="5">
        <f t="shared" si="16"/>
        <v>7.4380793898456865E-2</v>
      </c>
      <c r="O61" s="5">
        <f t="shared" si="17"/>
        <v>7.5676930599311021E-2</v>
      </c>
    </row>
    <row r="62" spans="1:15" ht="15.6" customHeight="1" x14ac:dyDescent="0.3">
      <c r="A62" s="1">
        <v>3</v>
      </c>
      <c r="B62" s="1">
        <v>200</v>
      </c>
      <c r="C62" s="1">
        <v>400</v>
      </c>
      <c r="D62" s="2">
        <v>0.15</v>
      </c>
      <c r="E62" s="1">
        <v>10</v>
      </c>
      <c r="F62" s="2">
        <v>0</v>
      </c>
      <c r="G62" s="2">
        <v>111.09</v>
      </c>
      <c r="H62" s="2">
        <v>18.149999999999999</v>
      </c>
      <c r="J62" s="4">
        <f t="shared" si="12"/>
        <v>0.90749999999999997</v>
      </c>
      <c r="K62" s="5">
        <f t="shared" si="13"/>
        <v>7.3247628361453856</v>
      </c>
      <c r="L62" s="5">
        <f t="shared" si="14"/>
        <v>7.2557772743057622</v>
      </c>
      <c r="M62" s="5">
        <f t="shared" si="15"/>
        <v>7.394861911422649</v>
      </c>
      <c r="N62" s="5">
        <f t="shared" si="16"/>
        <v>6.8985561839623344E-2</v>
      </c>
      <c r="O62" s="5">
        <f t="shared" si="17"/>
        <v>7.0099075277263445E-2</v>
      </c>
    </row>
    <row r="63" spans="1:15" ht="15.6" customHeight="1" x14ac:dyDescent="0.3">
      <c r="A63" s="1">
        <v>3</v>
      </c>
      <c r="B63" s="1">
        <v>200</v>
      </c>
      <c r="C63" s="1">
        <v>400</v>
      </c>
      <c r="D63" s="2">
        <v>0.16</v>
      </c>
      <c r="E63" s="1">
        <v>10</v>
      </c>
      <c r="F63" s="2">
        <v>0</v>
      </c>
      <c r="G63" s="2">
        <v>121.96</v>
      </c>
      <c r="H63" s="2">
        <v>20.62</v>
      </c>
      <c r="J63" s="4">
        <f t="shared" si="12"/>
        <v>1.0310000000000001</v>
      </c>
      <c r="K63" s="5">
        <f t="shared" si="13"/>
        <v>6.9193383469030056</v>
      </c>
      <c r="L63" s="5">
        <f t="shared" si="14"/>
        <v>6.8479695614196698</v>
      </c>
      <c r="M63" s="5">
        <f t="shared" si="15"/>
        <v>6.9918995779827444</v>
      </c>
      <c r="N63" s="5">
        <f t="shared" si="16"/>
        <v>7.1368785483335806E-2</v>
      </c>
      <c r="O63" s="5">
        <f t="shared" si="17"/>
        <v>7.2561231079738775E-2</v>
      </c>
    </row>
    <row r="64" spans="1:15" ht="15.6" customHeight="1" x14ac:dyDescent="0.3">
      <c r="A64" s="1">
        <v>3</v>
      </c>
      <c r="B64" s="1">
        <v>200</v>
      </c>
      <c r="C64" s="1">
        <v>400</v>
      </c>
      <c r="D64" s="2">
        <v>0.17</v>
      </c>
      <c r="E64" s="1">
        <v>10</v>
      </c>
      <c r="F64" s="2">
        <v>0</v>
      </c>
      <c r="G64" s="2">
        <v>135</v>
      </c>
      <c r="H64" s="2">
        <v>19.64</v>
      </c>
      <c r="J64" s="4">
        <f t="shared" si="12"/>
        <v>0.98199999999999998</v>
      </c>
      <c r="K64" s="5">
        <f t="shared" si="13"/>
        <v>6.4781748188863748</v>
      </c>
      <c r="L64" s="5">
        <f t="shared" si="14"/>
        <v>6.416693888790725</v>
      </c>
      <c r="M64" s="5">
        <f t="shared" si="15"/>
        <v>6.5405386175093465</v>
      </c>
      <c r="N64" s="5">
        <f t="shared" si="16"/>
        <v>6.1480930095649811E-2</v>
      </c>
      <c r="O64" s="5">
        <f t="shared" si="17"/>
        <v>6.23637986229717E-2</v>
      </c>
    </row>
    <row r="65" spans="1:15" ht="15.6" customHeight="1" x14ac:dyDescent="0.3">
      <c r="A65" s="1">
        <v>3</v>
      </c>
      <c r="B65" s="1">
        <v>200</v>
      </c>
      <c r="C65" s="1">
        <v>400</v>
      </c>
      <c r="D65" s="2">
        <v>0.18</v>
      </c>
      <c r="E65" s="1">
        <v>10</v>
      </c>
      <c r="F65" s="2">
        <v>0</v>
      </c>
      <c r="G65" s="2">
        <v>151.24</v>
      </c>
      <c r="H65" s="2">
        <v>20.04</v>
      </c>
      <c r="J65" s="4">
        <f t="shared" si="12"/>
        <v>1.002</v>
      </c>
      <c r="K65" s="5">
        <f t="shared" si="13"/>
        <v>5.9848458169314567</v>
      </c>
      <c r="L65" s="5">
        <f t="shared" si="14"/>
        <v>5.9288137273334476</v>
      </c>
      <c r="M65" s="5">
        <f t="shared" si="15"/>
        <v>6.0416102843407185</v>
      </c>
      <c r="N65" s="5">
        <f t="shared" si="16"/>
        <v>5.6032089598009094E-2</v>
      </c>
      <c r="O65" s="5">
        <f t="shared" si="17"/>
        <v>5.6764467409261776E-2</v>
      </c>
    </row>
    <row r="66" spans="1:15" ht="15.6" customHeight="1" x14ac:dyDescent="0.3">
      <c r="A66" s="1">
        <v>3</v>
      </c>
      <c r="B66" s="1">
        <v>200</v>
      </c>
      <c r="C66" s="1">
        <v>400</v>
      </c>
      <c r="D66" s="2">
        <v>0.19</v>
      </c>
      <c r="E66" s="1">
        <v>10</v>
      </c>
      <c r="F66" s="2">
        <v>0</v>
      </c>
      <c r="G66" s="2">
        <v>163.07</v>
      </c>
      <c r="H66" s="2">
        <v>22.45</v>
      </c>
      <c r="J66" s="4">
        <f t="shared" si="12"/>
        <v>1.1225000000000001</v>
      </c>
      <c r="K66" s="5">
        <f t="shared" si="13"/>
        <v>5.657771791829842</v>
      </c>
      <c r="L66" s="5">
        <f t="shared" si="14"/>
        <v>5.5995696051196404</v>
      </c>
      <c r="M66" s="5">
        <f t="shared" si="15"/>
        <v>5.7167645853315205</v>
      </c>
      <c r="N66" s="5">
        <f t="shared" si="16"/>
        <v>5.8202186710201609E-2</v>
      </c>
      <c r="O66" s="5">
        <f t="shared" si="17"/>
        <v>5.899279350167852E-2</v>
      </c>
    </row>
    <row r="67" spans="1:15" ht="15.6" customHeight="1" x14ac:dyDescent="0.3">
      <c r="A67" s="1">
        <v>3</v>
      </c>
      <c r="B67" s="1">
        <v>200</v>
      </c>
      <c r="C67" s="1">
        <v>400</v>
      </c>
      <c r="D67" s="2">
        <v>0.2</v>
      </c>
      <c r="E67" s="1">
        <v>10</v>
      </c>
      <c r="F67" s="2">
        <v>0</v>
      </c>
      <c r="G67" s="2">
        <v>177.96</v>
      </c>
      <c r="H67" s="2">
        <v>20.57</v>
      </c>
      <c r="J67" s="4">
        <f t="shared" si="12"/>
        <v>1.0285</v>
      </c>
      <c r="K67" s="5">
        <f t="shared" si="13"/>
        <v>5.2782885330763669</v>
      </c>
      <c r="L67" s="5">
        <f t="shared" si="14"/>
        <v>5.2293699290176896</v>
      </c>
      <c r="M67" s="5">
        <f t="shared" si="15"/>
        <v>5.327764435946146</v>
      </c>
      <c r="N67" s="5">
        <f t="shared" si="16"/>
        <v>4.8918604058677317E-2</v>
      </c>
      <c r="O67" s="5">
        <f t="shared" si="17"/>
        <v>4.9475902869779098E-2</v>
      </c>
    </row>
    <row r="68" spans="1:15" ht="15.6" customHeight="1" x14ac:dyDescent="0.3">
      <c r="A68" s="13" t="s">
        <v>17</v>
      </c>
      <c r="B68" s="7"/>
      <c r="C68" s="7"/>
      <c r="D68" s="8"/>
      <c r="E68" s="7"/>
      <c r="F68" s="8"/>
      <c r="G68" s="8"/>
      <c r="H68" s="8"/>
      <c r="I68" s="8"/>
      <c r="J68" s="9"/>
      <c r="K68" s="10"/>
      <c r="L68" s="10"/>
      <c r="M68" s="10"/>
      <c r="N68" s="10"/>
      <c r="O68" s="10"/>
    </row>
    <row r="69" spans="1:15" ht="15.6" customHeight="1" x14ac:dyDescent="0.3">
      <c r="A69" s="1">
        <v>4</v>
      </c>
      <c r="B69" s="1">
        <v>200</v>
      </c>
      <c r="C69" s="1">
        <v>400</v>
      </c>
      <c r="D69" s="2">
        <v>0</v>
      </c>
      <c r="E69" s="1">
        <v>10</v>
      </c>
      <c r="F69" s="2">
        <v>0</v>
      </c>
      <c r="G69" s="2">
        <v>62.48</v>
      </c>
      <c r="H69" s="2">
        <v>17.12</v>
      </c>
      <c r="J69" s="4">
        <f t="shared" ref="J69:J89" si="18">H69/SQRT(C69)</f>
        <v>0.85600000000000009</v>
      </c>
      <c r="K69" s="5">
        <f t="shared" ref="K69:K89" si="19">-10*LOG10(G69/(B69*3))</f>
        <v>9.824102295143998</v>
      </c>
      <c r="L69" s="5">
        <f t="shared" ref="L69:L89" si="20">-10*LOG10((G69+1.96*J69)/(B69*3))</f>
        <v>9.7090205777308753</v>
      </c>
      <c r="M69" s="5">
        <f t="shared" ref="M69:M89" si="21">-10*LOG10((G69-1.96*J69)/(B69*3))</f>
        <v>9.9423167108262671</v>
      </c>
      <c r="N69" s="5">
        <f t="shared" ref="N69:N89" si="22">K69-L69</f>
        <v>0.11508171741312267</v>
      </c>
      <c r="O69" s="5">
        <f t="shared" ref="O69:O89" si="23">M69-K69</f>
        <v>0.11821441568226909</v>
      </c>
    </row>
    <row r="70" spans="1:15" ht="15.6" customHeight="1" x14ac:dyDescent="0.3">
      <c r="A70" s="3">
        <v>4</v>
      </c>
      <c r="B70" s="3">
        <v>200</v>
      </c>
      <c r="C70" s="3">
        <v>400</v>
      </c>
      <c r="D70" s="4">
        <v>0.01</v>
      </c>
      <c r="E70" s="3">
        <v>10</v>
      </c>
      <c r="F70" s="4">
        <v>0</v>
      </c>
      <c r="G70" s="4">
        <v>60.61</v>
      </c>
      <c r="H70" s="4">
        <v>14.03</v>
      </c>
      <c r="I70" s="4"/>
      <c r="J70" s="4">
        <f t="shared" si="18"/>
        <v>0.70150000000000001</v>
      </c>
      <c r="K70" s="5">
        <f t="shared" si="19"/>
        <v>9.9560696637363364</v>
      </c>
      <c r="L70" s="5">
        <f t="shared" si="20"/>
        <v>9.8586506523018578</v>
      </c>
      <c r="M70" s="5">
        <f t="shared" si="21"/>
        <v>10.055724176883928</v>
      </c>
      <c r="N70" s="5">
        <f t="shared" si="22"/>
        <v>9.741901143447862E-2</v>
      </c>
      <c r="O70" s="5">
        <f t="shared" si="23"/>
        <v>9.9654513147591217E-2</v>
      </c>
    </row>
    <row r="71" spans="1:15" ht="15.6" customHeight="1" x14ac:dyDescent="0.3">
      <c r="A71" s="3">
        <v>4</v>
      </c>
      <c r="B71" s="3">
        <v>200</v>
      </c>
      <c r="C71" s="3">
        <v>400</v>
      </c>
      <c r="D71" s="4">
        <v>0.02</v>
      </c>
      <c r="E71" s="3">
        <v>10</v>
      </c>
      <c r="F71" s="4">
        <v>0</v>
      </c>
      <c r="G71" s="4">
        <v>61.38</v>
      </c>
      <c r="H71" s="4">
        <v>15.18</v>
      </c>
      <c r="I71" s="4"/>
      <c r="J71" s="4">
        <f t="shared" si="18"/>
        <v>0.75900000000000001</v>
      </c>
      <c r="K71" s="5">
        <f t="shared" si="19"/>
        <v>9.9012436628783984</v>
      </c>
      <c r="L71" s="5">
        <f t="shared" si="20"/>
        <v>9.7972409278858041</v>
      </c>
      <c r="M71" s="5">
        <f t="shared" si="21"/>
        <v>10.00779824012012</v>
      </c>
      <c r="N71" s="5">
        <f t="shared" si="22"/>
        <v>0.10400273499259427</v>
      </c>
      <c r="O71" s="5">
        <f t="shared" si="23"/>
        <v>0.10655457724172201</v>
      </c>
    </row>
    <row r="72" spans="1:15" ht="15.6" customHeight="1" x14ac:dyDescent="0.3">
      <c r="A72" s="3">
        <v>4</v>
      </c>
      <c r="B72" s="3">
        <v>200</v>
      </c>
      <c r="C72" s="3">
        <v>400</v>
      </c>
      <c r="D72" s="4">
        <v>0.03</v>
      </c>
      <c r="E72" s="3">
        <v>10</v>
      </c>
      <c r="F72" s="4">
        <v>0</v>
      </c>
      <c r="G72" s="4">
        <v>59.12</v>
      </c>
      <c r="H72" s="4">
        <v>17.09</v>
      </c>
      <c r="I72" s="4"/>
      <c r="J72" s="4">
        <f t="shared" si="18"/>
        <v>0.85450000000000004</v>
      </c>
      <c r="K72" s="5">
        <f t="shared" si="19"/>
        <v>10.064168249968743</v>
      </c>
      <c r="L72" s="5">
        <f t="shared" si="20"/>
        <v>9.9428467343415932</v>
      </c>
      <c r="M72" s="5">
        <f t="shared" si="21"/>
        <v>10.188976557791934</v>
      </c>
      <c r="N72" s="5">
        <f t="shared" si="22"/>
        <v>0.12132151562714988</v>
      </c>
      <c r="O72" s="5">
        <f t="shared" si="23"/>
        <v>0.12480830782319075</v>
      </c>
    </row>
    <row r="73" spans="1:15" ht="15.6" customHeight="1" x14ac:dyDescent="0.3">
      <c r="A73" s="3">
        <v>4</v>
      </c>
      <c r="B73" s="3">
        <v>200</v>
      </c>
      <c r="C73" s="3">
        <v>400</v>
      </c>
      <c r="D73" s="4">
        <v>0.04</v>
      </c>
      <c r="E73" s="3">
        <v>10</v>
      </c>
      <c r="F73" s="4">
        <v>0</v>
      </c>
      <c r="G73" s="4">
        <v>58.5</v>
      </c>
      <c r="H73" s="4">
        <v>18.649999999999999</v>
      </c>
      <c r="I73" s="4"/>
      <c r="J73" s="4">
        <f t="shared" si="18"/>
        <v>0.93249999999999988</v>
      </c>
      <c r="K73" s="5">
        <f t="shared" si="19"/>
        <v>10.109953843014631</v>
      </c>
      <c r="L73" s="5">
        <f t="shared" si="20"/>
        <v>9.9763448227508427</v>
      </c>
      <c r="M73" s="5">
        <f t="shared" si="21"/>
        <v>10.247804118900428</v>
      </c>
      <c r="N73" s="5">
        <f t="shared" si="22"/>
        <v>0.13360902026378874</v>
      </c>
      <c r="O73" s="5">
        <f t="shared" si="23"/>
        <v>0.13785027588579624</v>
      </c>
    </row>
    <row r="74" spans="1:15" ht="15.6" customHeight="1" x14ac:dyDescent="0.3">
      <c r="A74" s="3">
        <v>4</v>
      </c>
      <c r="B74" s="3">
        <v>200</v>
      </c>
      <c r="C74" s="3">
        <v>400</v>
      </c>
      <c r="D74" s="4">
        <v>0.05</v>
      </c>
      <c r="E74" s="3">
        <v>10</v>
      </c>
      <c r="F74" s="4">
        <v>0</v>
      </c>
      <c r="G74" s="4">
        <v>60.13</v>
      </c>
      <c r="H74" s="4">
        <v>26.45</v>
      </c>
      <c r="I74" s="4"/>
      <c r="J74" s="4">
        <f t="shared" si="18"/>
        <v>1.3225</v>
      </c>
      <c r="K74" s="5">
        <f t="shared" si="19"/>
        <v>9.9906004653814442</v>
      </c>
      <c r="L74" s="5">
        <f t="shared" si="20"/>
        <v>9.8073065984080472</v>
      </c>
      <c r="M74" s="5">
        <f t="shared" si="21"/>
        <v>10.181972432821532</v>
      </c>
      <c r="N74" s="5">
        <f t="shared" si="22"/>
        <v>0.183293866973397</v>
      </c>
      <c r="O74" s="5">
        <f t="shared" si="23"/>
        <v>0.19137196744008733</v>
      </c>
    </row>
    <row r="75" spans="1:15" ht="15.6" customHeight="1" x14ac:dyDescent="0.3">
      <c r="A75" s="3">
        <v>4</v>
      </c>
      <c r="B75" s="3">
        <v>200</v>
      </c>
      <c r="C75" s="3">
        <v>400</v>
      </c>
      <c r="D75" s="4">
        <v>0.06</v>
      </c>
      <c r="E75" s="3">
        <v>10</v>
      </c>
      <c r="F75" s="4">
        <v>0</v>
      </c>
      <c r="G75" s="4">
        <v>56.16</v>
      </c>
      <c r="H75" s="4">
        <v>12.07</v>
      </c>
      <c r="I75" s="4"/>
      <c r="J75" s="4">
        <f t="shared" si="18"/>
        <v>0.60350000000000004</v>
      </c>
      <c r="K75" s="5">
        <f t="shared" si="19"/>
        <v>10.287241512618948</v>
      </c>
      <c r="L75" s="5">
        <f t="shared" si="20"/>
        <v>10.196719006074467</v>
      </c>
      <c r="M75" s="5">
        <f t="shared" si="21"/>
        <v>10.379691069919678</v>
      </c>
      <c r="N75" s="5">
        <f t="shared" si="22"/>
        <v>9.0522506544481018E-2</v>
      </c>
      <c r="O75" s="5">
        <f t="shared" si="23"/>
        <v>9.2449557300730234E-2</v>
      </c>
    </row>
    <row r="76" spans="1:15" ht="15.6" customHeight="1" x14ac:dyDescent="0.3">
      <c r="A76" s="3">
        <v>4</v>
      </c>
      <c r="B76" s="3">
        <v>200</v>
      </c>
      <c r="C76" s="3">
        <v>400</v>
      </c>
      <c r="D76" s="4">
        <v>7.0000000000000007E-2</v>
      </c>
      <c r="E76" s="3">
        <v>10</v>
      </c>
      <c r="F76" s="4">
        <v>0</v>
      </c>
      <c r="G76" s="4">
        <v>60.34</v>
      </c>
      <c r="H76" s="4">
        <v>28.71</v>
      </c>
      <c r="I76" s="4"/>
      <c r="J76" s="4">
        <f t="shared" si="18"/>
        <v>1.4355</v>
      </c>
      <c r="K76" s="5">
        <f t="shared" si="19"/>
        <v>9.9754594454467398</v>
      </c>
      <c r="L76" s="5">
        <f t="shared" si="20"/>
        <v>9.7775327585371166</v>
      </c>
      <c r="M76" s="5">
        <f t="shared" si="21"/>
        <v>10.182839026509093</v>
      </c>
      <c r="N76" s="5">
        <f t="shared" si="22"/>
        <v>0.19792668690962323</v>
      </c>
      <c r="O76" s="5">
        <f t="shared" si="23"/>
        <v>0.20737958106235332</v>
      </c>
    </row>
    <row r="77" spans="1:15" ht="15.6" customHeight="1" x14ac:dyDescent="0.3">
      <c r="A77" s="3">
        <v>4</v>
      </c>
      <c r="B77" s="3">
        <v>200</v>
      </c>
      <c r="C77" s="3">
        <v>400</v>
      </c>
      <c r="D77" s="4">
        <v>0.08</v>
      </c>
      <c r="E77" s="3">
        <v>10</v>
      </c>
      <c r="F77" s="4">
        <v>0</v>
      </c>
      <c r="G77" s="4">
        <v>62.25</v>
      </c>
      <c r="H77" s="4">
        <v>26.07</v>
      </c>
      <c r="I77" s="4"/>
      <c r="J77" s="4">
        <f t="shared" si="18"/>
        <v>1.3035000000000001</v>
      </c>
      <c r="K77" s="5">
        <f t="shared" si="19"/>
        <v>9.8401189461586966</v>
      </c>
      <c r="L77" s="5">
        <f t="shared" si="20"/>
        <v>9.6654367364829969</v>
      </c>
      <c r="M77" s="5">
        <f t="shared" si="21"/>
        <v>10.022122753195752</v>
      </c>
      <c r="N77" s="5">
        <f t="shared" si="22"/>
        <v>0.1746822096756997</v>
      </c>
      <c r="O77" s="5">
        <f t="shared" si="23"/>
        <v>0.18200380703705576</v>
      </c>
    </row>
    <row r="78" spans="1:15" ht="15.6" customHeight="1" x14ac:dyDescent="0.3">
      <c r="A78" s="3">
        <v>4</v>
      </c>
      <c r="B78" s="3">
        <v>200</v>
      </c>
      <c r="C78" s="3">
        <v>400</v>
      </c>
      <c r="D78" s="4">
        <v>0.09</v>
      </c>
      <c r="E78" s="3">
        <v>10</v>
      </c>
      <c r="F78" s="4">
        <v>0</v>
      </c>
      <c r="G78" s="4">
        <v>64.5</v>
      </c>
      <c r="H78" s="4">
        <v>23.45</v>
      </c>
      <c r="I78" s="4"/>
      <c r="J78" s="4">
        <f t="shared" si="18"/>
        <v>1.1724999999999999</v>
      </c>
      <c r="K78" s="5">
        <f t="shared" si="19"/>
        <v>9.6859153574837578</v>
      </c>
      <c r="L78" s="5">
        <f t="shared" si="20"/>
        <v>9.5338714077113522</v>
      </c>
      <c r="M78" s="5">
        <f t="shared" si="21"/>
        <v>9.843475996652856</v>
      </c>
      <c r="N78" s="5">
        <f t="shared" si="22"/>
        <v>0.15204394977240554</v>
      </c>
      <c r="O78" s="5">
        <f t="shared" si="23"/>
        <v>0.15756063916909824</v>
      </c>
    </row>
    <row r="79" spans="1:15" ht="15.6" customHeight="1" x14ac:dyDescent="0.3">
      <c r="A79" s="3">
        <v>4</v>
      </c>
      <c r="B79" s="3">
        <v>200</v>
      </c>
      <c r="C79" s="3">
        <v>400</v>
      </c>
      <c r="D79" s="4">
        <v>0.1</v>
      </c>
      <c r="E79" s="3">
        <v>10</v>
      </c>
      <c r="F79" s="4">
        <v>0</v>
      </c>
      <c r="G79" s="4">
        <v>65.36</v>
      </c>
      <c r="H79" s="4">
        <v>16.47</v>
      </c>
      <c r="I79" s="4"/>
      <c r="J79" s="4">
        <f t="shared" si="18"/>
        <v>0.8234999999999999</v>
      </c>
      <c r="K79" s="5">
        <f t="shared" si="19"/>
        <v>9.628392068592845</v>
      </c>
      <c r="L79" s="5">
        <f t="shared" si="20"/>
        <v>9.5224462350732146</v>
      </c>
      <c r="M79" s="5">
        <f t="shared" si="21"/>
        <v>9.7369872075601744</v>
      </c>
      <c r="N79" s="5">
        <f t="shared" si="22"/>
        <v>0.10594583351963038</v>
      </c>
      <c r="O79" s="5">
        <f t="shared" si="23"/>
        <v>0.10859513896732942</v>
      </c>
    </row>
    <row r="80" spans="1:15" ht="15.6" customHeight="1" x14ac:dyDescent="0.3">
      <c r="A80" s="3">
        <v>4</v>
      </c>
      <c r="B80" s="3">
        <v>200</v>
      </c>
      <c r="C80" s="3">
        <v>400</v>
      </c>
      <c r="D80" s="4">
        <v>0.11</v>
      </c>
      <c r="E80" s="3">
        <v>10</v>
      </c>
      <c r="F80" s="3">
        <v>0</v>
      </c>
      <c r="G80" s="4">
        <v>71.760000000000005</v>
      </c>
      <c r="H80" s="4">
        <v>33.29</v>
      </c>
      <c r="I80" s="4"/>
      <c r="J80" s="4">
        <f t="shared" si="18"/>
        <v>1.6644999999999999</v>
      </c>
      <c r="K80" s="5">
        <f t="shared" si="19"/>
        <v>9.2226882034760784</v>
      </c>
      <c r="L80" s="5">
        <f t="shared" si="20"/>
        <v>9.0296018129547821</v>
      </c>
      <c r="M80" s="5">
        <f t="shared" si="21"/>
        <v>9.4247602212058474</v>
      </c>
      <c r="N80" s="5">
        <f t="shared" si="22"/>
        <v>0.19308639052129628</v>
      </c>
      <c r="O80" s="5">
        <f t="shared" si="23"/>
        <v>0.20207201772976902</v>
      </c>
    </row>
    <row r="81" spans="1:15" ht="15.6" customHeight="1" x14ac:dyDescent="0.3">
      <c r="A81" s="3">
        <v>4</v>
      </c>
      <c r="B81" s="3">
        <v>200</v>
      </c>
      <c r="C81" s="3">
        <v>400</v>
      </c>
      <c r="D81" s="4">
        <v>0.12</v>
      </c>
      <c r="E81" s="3">
        <v>10</v>
      </c>
      <c r="F81" s="4">
        <v>0</v>
      </c>
      <c r="G81" s="4">
        <v>70.66</v>
      </c>
      <c r="H81" s="4">
        <v>21.35</v>
      </c>
      <c r="I81" s="4"/>
      <c r="J81" s="4">
        <f t="shared" si="18"/>
        <v>1.0675000000000001</v>
      </c>
      <c r="K81" s="5">
        <f t="shared" si="19"/>
        <v>9.2897761728481694</v>
      </c>
      <c r="L81" s="5">
        <f t="shared" si="20"/>
        <v>9.1630452267045612</v>
      </c>
      <c r="M81" s="5">
        <f t="shared" si="21"/>
        <v>9.4203166842681636</v>
      </c>
      <c r="N81" s="5">
        <f t="shared" si="22"/>
        <v>0.12673094614360814</v>
      </c>
      <c r="O81" s="5">
        <f t="shared" si="23"/>
        <v>0.13054051141999423</v>
      </c>
    </row>
    <row r="82" spans="1:15" ht="15.6" customHeight="1" x14ac:dyDescent="0.3">
      <c r="A82" s="3">
        <v>4</v>
      </c>
      <c r="B82" s="3">
        <v>200</v>
      </c>
      <c r="C82" s="3">
        <v>400</v>
      </c>
      <c r="D82" s="4">
        <v>0.13</v>
      </c>
      <c r="E82" s="3">
        <v>10</v>
      </c>
      <c r="F82" s="4">
        <v>0</v>
      </c>
      <c r="G82" s="4">
        <v>76.05</v>
      </c>
      <c r="H82" s="4">
        <v>23.15</v>
      </c>
      <c r="I82" s="4"/>
      <c r="J82" s="4">
        <f t="shared" si="18"/>
        <v>1.1575</v>
      </c>
      <c r="K82" s="5">
        <f t="shared" si="19"/>
        <v>8.9705203199462638</v>
      </c>
      <c r="L82" s="5">
        <f t="shared" si="20"/>
        <v>8.842857803157349</v>
      </c>
      <c r="M82" s="5">
        <f t="shared" si="21"/>
        <v>9.1020494731269412</v>
      </c>
      <c r="N82" s="5">
        <f t="shared" si="22"/>
        <v>0.12766251678891471</v>
      </c>
      <c r="O82" s="5">
        <f t="shared" si="23"/>
        <v>0.13152915318067748</v>
      </c>
    </row>
    <row r="83" spans="1:15" ht="15.6" customHeight="1" x14ac:dyDescent="0.3">
      <c r="A83" s="3">
        <v>4</v>
      </c>
      <c r="B83" s="3">
        <v>200</v>
      </c>
      <c r="C83" s="3">
        <v>400</v>
      </c>
      <c r="D83" s="4">
        <v>0.14000000000000001</v>
      </c>
      <c r="E83" s="3">
        <v>10</v>
      </c>
      <c r="F83" s="4">
        <v>0</v>
      </c>
      <c r="G83" s="4">
        <v>82.11</v>
      </c>
      <c r="H83" s="4">
        <v>21.43</v>
      </c>
      <c r="I83" s="4"/>
      <c r="J83" s="4">
        <f t="shared" si="18"/>
        <v>1.0714999999999999</v>
      </c>
      <c r="K83" s="5">
        <f t="shared" si="19"/>
        <v>8.6375519825385751</v>
      </c>
      <c r="L83" s="5">
        <f t="shared" si="20"/>
        <v>8.5278686101105343</v>
      </c>
      <c r="M83" s="5">
        <f t="shared" si="21"/>
        <v>8.7500773989512322</v>
      </c>
      <c r="N83" s="5">
        <f t="shared" si="22"/>
        <v>0.10968337242804083</v>
      </c>
      <c r="O83" s="5">
        <f t="shared" si="23"/>
        <v>0.11252541641265701</v>
      </c>
    </row>
    <row r="84" spans="1:15" ht="15.6" customHeight="1" x14ac:dyDescent="0.3">
      <c r="A84" s="3">
        <v>4</v>
      </c>
      <c r="B84" s="3">
        <v>200</v>
      </c>
      <c r="C84" s="3">
        <v>400</v>
      </c>
      <c r="D84" s="4">
        <v>0.15</v>
      </c>
      <c r="E84" s="3">
        <v>10</v>
      </c>
      <c r="F84" s="4">
        <v>0</v>
      </c>
      <c r="G84" s="4">
        <v>92.01</v>
      </c>
      <c r="H84" s="4">
        <v>32.18</v>
      </c>
      <c r="I84" s="4"/>
      <c r="J84" s="4">
        <f t="shared" si="18"/>
        <v>1.609</v>
      </c>
      <c r="K84" s="5">
        <f t="shared" si="19"/>
        <v>8.1431621968149575</v>
      </c>
      <c r="L84" s="5">
        <f t="shared" si="20"/>
        <v>7.9968020497889833</v>
      </c>
      <c r="M84" s="5">
        <f t="shared" si="21"/>
        <v>8.2946273198400267</v>
      </c>
      <c r="N84" s="5">
        <f t="shared" si="22"/>
        <v>0.14636014702597411</v>
      </c>
      <c r="O84" s="5">
        <f t="shared" si="23"/>
        <v>0.1514651230250692</v>
      </c>
    </row>
    <row r="85" spans="1:15" x14ac:dyDescent="0.3">
      <c r="A85" s="1">
        <v>4</v>
      </c>
      <c r="B85" s="1">
        <v>200</v>
      </c>
      <c r="C85" s="1">
        <v>400</v>
      </c>
      <c r="D85" s="2">
        <v>0.16</v>
      </c>
      <c r="E85" s="1">
        <v>10</v>
      </c>
      <c r="F85" s="2">
        <v>0</v>
      </c>
      <c r="G85" s="2">
        <v>99.63</v>
      </c>
      <c r="H85" s="2">
        <v>29.98</v>
      </c>
      <c r="J85" s="4">
        <f t="shared" si="18"/>
        <v>1.4990000000000001</v>
      </c>
      <c r="K85" s="5">
        <f t="shared" si="19"/>
        <v>7.7976112006559593</v>
      </c>
      <c r="L85" s="5">
        <f t="shared" si="20"/>
        <v>7.6713919383704186</v>
      </c>
      <c r="M85" s="5">
        <f t="shared" si="21"/>
        <v>7.9276088667086118</v>
      </c>
      <c r="N85" s="5">
        <f t="shared" si="22"/>
        <v>0.1262192622855407</v>
      </c>
      <c r="O85" s="5">
        <f t="shared" si="23"/>
        <v>0.12999766605265251</v>
      </c>
    </row>
    <row r="86" spans="1:15" x14ac:dyDescent="0.3">
      <c r="A86" s="1">
        <v>4</v>
      </c>
      <c r="B86" s="1">
        <v>200</v>
      </c>
      <c r="C86" s="1">
        <v>400</v>
      </c>
      <c r="D86" s="2">
        <v>0.17</v>
      </c>
      <c r="E86" s="1">
        <v>10</v>
      </c>
      <c r="F86" s="2">
        <v>0</v>
      </c>
      <c r="G86" s="2">
        <v>111.69</v>
      </c>
      <c r="H86" s="2">
        <v>26.55</v>
      </c>
      <c r="J86" s="4">
        <f t="shared" si="18"/>
        <v>1.3275000000000001</v>
      </c>
      <c r="K86" s="5">
        <f t="shared" si="19"/>
        <v>7.3013695944558883</v>
      </c>
      <c r="L86" s="5">
        <f t="shared" si="20"/>
        <v>7.2013579785323714</v>
      </c>
      <c r="M86" s="5">
        <f t="shared" si="21"/>
        <v>7.4037387272113753</v>
      </c>
      <c r="N86" s="5">
        <f t="shared" si="22"/>
        <v>0.10001161592351693</v>
      </c>
      <c r="O86" s="5">
        <f t="shared" si="23"/>
        <v>0.10236913275548698</v>
      </c>
    </row>
    <row r="87" spans="1:15" x14ac:dyDescent="0.3">
      <c r="A87" s="1">
        <v>4</v>
      </c>
      <c r="B87" s="1">
        <v>200</v>
      </c>
      <c r="C87" s="1">
        <v>400</v>
      </c>
      <c r="D87" s="2">
        <v>0.18</v>
      </c>
      <c r="E87" s="1">
        <v>10</v>
      </c>
      <c r="F87" s="2">
        <v>0</v>
      </c>
      <c r="G87" s="2">
        <v>124.55</v>
      </c>
      <c r="H87" s="2">
        <v>29.54</v>
      </c>
      <c r="J87" s="4">
        <f t="shared" si="18"/>
        <v>1.4769999999999999</v>
      </c>
      <c r="K87" s="5">
        <f t="shared" si="19"/>
        <v>6.8280751851111834</v>
      </c>
      <c r="L87" s="5">
        <f t="shared" si="20"/>
        <v>6.7282872136641352</v>
      </c>
      <c r="M87" s="5">
        <f t="shared" si="21"/>
        <v>6.9302100172918202</v>
      </c>
      <c r="N87" s="5">
        <f t="shared" si="22"/>
        <v>9.9787971447048207E-2</v>
      </c>
      <c r="O87" s="5">
        <f t="shared" si="23"/>
        <v>0.10213483218063679</v>
      </c>
    </row>
    <row r="88" spans="1:15" x14ac:dyDescent="0.3">
      <c r="A88" s="1">
        <v>4</v>
      </c>
      <c r="B88" s="1">
        <v>200</v>
      </c>
      <c r="C88" s="1">
        <v>400</v>
      </c>
      <c r="D88" s="2">
        <v>0.19</v>
      </c>
      <c r="E88" s="1">
        <v>10</v>
      </c>
      <c r="F88" s="2">
        <v>0</v>
      </c>
      <c r="G88" s="2">
        <v>137.11000000000001</v>
      </c>
      <c r="H88" s="2">
        <v>29.81</v>
      </c>
      <c r="J88" s="4">
        <f t="shared" si="18"/>
        <v>1.4904999999999999</v>
      </c>
      <c r="K88" s="5">
        <f t="shared" si="19"/>
        <v>6.4108211954423506</v>
      </c>
      <c r="L88" s="5">
        <f t="shared" si="20"/>
        <v>6.3192588160724226</v>
      </c>
      <c r="M88" s="5">
        <f t="shared" si="21"/>
        <v>6.5043556376650677</v>
      </c>
      <c r="N88" s="5">
        <f t="shared" si="22"/>
        <v>9.156237936992806E-2</v>
      </c>
      <c r="O88" s="5">
        <f t="shared" si="23"/>
        <v>9.3534442222717118E-2</v>
      </c>
    </row>
    <row r="89" spans="1:15" x14ac:dyDescent="0.3">
      <c r="A89" s="1">
        <v>4</v>
      </c>
      <c r="B89" s="1">
        <v>200</v>
      </c>
      <c r="C89" s="1">
        <v>400</v>
      </c>
      <c r="D89" s="2">
        <v>0.2</v>
      </c>
      <c r="E89" s="1">
        <v>10</v>
      </c>
      <c r="F89" s="2">
        <v>0</v>
      </c>
      <c r="G89" s="2">
        <v>148.18</v>
      </c>
      <c r="H89" s="2">
        <v>31.13</v>
      </c>
      <c r="J89" s="4">
        <f t="shared" si="18"/>
        <v>1.5565</v>
      </c>
      <c r="K89" s="5">
        <f t="shared" si="19"/>
        <v>6.0736165993725209</v>
      </c>
      <c r="L89" s="5">
        <f t="shared" si="20"/>
        <v>5.9851117313735394</v>
      </c>
      <c r="M89" s="5">
        <f t="shared" si="21"/>
        <v>6.163962695416501</v>
      </c>
      <c r="N89" s="5">
        <f t="shared" si="22"/>
        <v>8.8504867998981496E-2</v>
      </c>
      <c r="O89" s="5">
        <f t="shared" si="23"/>
        <v>9.034609604398014E-2</v>
      </c>
    </row>
    <row r="107" spans="10:15" ht="18.75" customHeight="1" x14ac:dyDescent="0.3">
      <c r="J107" s="4"/>
      <c r="K107" s="5"/>
      <c r="L107" s="5"/>
      <c r="M107" s="5"/>
      <c r="N107" s="5"/>
      <c r="O107" s="5"/>
    </row>
  </sheetData>
  <pageMargins left="0.7" right="0.7" top="0.75" bottom="0.75" header="0.3" footer="0.3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801BD5-3A65-421D-B89A-F292E372FE6B}">
  <sheetPr codeName="Sheet10">
    <outlinePr summaryBelow="0"/>
  </sheetPr>
  <dimension ref="A1:O87"/>
  <sheetViews>
    <sheetView zoomScale="115" zoomScaleNormal="115" workbookViewId="0">
      <pane ySplit="1" topLeftCell="A2" activePane="bottomLeft" state="frozen"/>
      <selection activeCell="A69" sqref="A69:H89"/>
      <selection pane="bottomLeft" activeCell="I16" sqref="I16"/>
    </sheetView>
  </sheetViews>
  <sheetFormatPr defaultRowHeight="14.4" x14ac:dyDescent="0.3"/>
  <cols>
    <col min="1" max="1" width="13.33203125" style="1" bestFit="1" customWidth="1"/>
    <col min="2" max="2" width="10.33203125" style="1" customWidth="1"/>
    <col min="3" max="3" width="10.77734375" style="1" customWidth="1"/>
    <col min="4" max="4" width="10.21875" style="2" customWidth="1"/>
    <col min="5" max="5" width="11.77734375" style="1" customWidth="1"/>
    <col min="6" max="6" width="9.44140625" style="2" customWidth="1"/>
    <col min="7" max="9" width="10" style="2" customWidth="1"/>
    <col min="10" max="10" width="9" style="2" customWidth="1"/>
    <col min="11" max="15" width="12.44140625" style="2" customWidth="1"/>
    <col min="16" max="16" width="12.44140625" customWidth="1"/>
  </cols>
  <sheetData>
    <row r="1" spans="1:15" s="6" customFormat="1" ht="15.6" customHeight="1" x14ac:dyDescent="0.3">
      <c r="A1" s="11" t="s">
        <v>14</v>
      </c>
      <c r="B1" s="11" t="s">
        <v>0</v>
      </c>
      <c r="C1" s="11" t="s">
        <v>1</v>
      </c>
      <c r="D1" s="12" t="s">
        <v>2</v>
      </c>
      <c r="E1" s="11" t="s">
        <v>3</v>
      </c>
      <c r="F1" s="12" t="s">
        <v>4</v>
      </c>
      <c r="G1" s="12" t="s">
        <v>5</v>
      </c>
      <c r="H1" s="12" t="s">
        <v>6</v>
      </c>
      <c r="I1" s="12"/>
      <c r="J1" s="12" t="s">
        <v>7</v>
      </c>
      <c r="K1" s="12" t="s">
        <v>8</v>
      </c>
      <c r="L1" s="12" t="s">
        <v>9</v>
      </c>
      <c r="M1" s="12" t="s">
        <v>10</v>
      </c>
      <c r="N1" s="12" t="s">
        <v>11</v>
      </c>
      <c r="O1" s="12" t="s">
        <v>12</v>
      </c>
    </row>
    <row r="2" spans="1:15" ht="15.6" customHeight="1" x14ac:dyDescent="0.3">
      <c r="A2" s="13" t="s">
        <v>13</v>
      </c>
      <c r="B2" s="7"/>
      <c r="C2" s="7"/>
      <c r="D2" s="8"/>
      <c r="E2" s="7"/>
      <c r="F2" s="8"/>
      <c r="G2" s="8"/>
      <c r="H2" s="8"/>
      <c r="I2" s="8"/>
      <c r="J2" s="9"/>
      <c r="K2" s="10"/>
      <c r="L2" s="10"/>
      <c r="M2" s="10"/>
      <c r="N2" s="10"/>
      <c r="O2" s="10"/>
    </row>
    <row r="3" spans="1:15" ht="15.6" customHeight="1" x14ac:dyDescent="0.3">
      <c r="A3" s="1">
        <v>1</v>
      </c>
      <c r="B3" s="1">
        <v>200</v>
      </c>
      <c r="C3" s="1">
        <v>400</v>
      </c>
      <c r="D3" s="2">
        <v>0.1</v>
      </c>
      <c r="E3" s="1">
        <v>5</v>
      </c>
      <c r="F3" s="2">
        <v>0</v>
      </c>
      <c r="G3" s="2">
        <v>192.29</v>
      </c>
      <c r="H3" s="2">
        <v>39.33</v>
      </c>
      <c r="J3" s="4">
        <f t="shared" ref="J3:J18" si="0">H3/SQRT(C3)</f>
        <v>1.9664999999999999</v>
      </c>
      <c r="K3" s="5">
        <f t="shared" ref="K3:K18" si="1">-10*LOG10(G3/(B3*3))</f>
        <v>4.9419455094882485</v>
      </c>
      <c r="L3" s="5">
        <f t="shared" ref="L3:L18" si="2">-10*LOG10((G3+1.96*J3)/(B3*3))</f>
        <v>4.8557546986931586</v>
      </c>
      <c r="M3" s="5">
        <f t="shared" ref="M3:M18" si="3">-10*LOG10((G3-1.96*J3)/(B3*3))</f>
        <v>5.0298815725725259</v>
      </c>
      <c r="N3" s="5">
        <f t="shared" ref="N3:N18" si="4">K3-L3</f>
        <v>8.6190810795089945E-2</v>
      </c>
      <c r="O3" s="5">
        <f t="shared" ref="O3:O18" si="5">M3-K3</f>
        <v>8.7936063084277372E-2</v>
      </c>
    </row>
    <row r="4" spans="1:15" ht="15.6" customHeight="1" x14ac:dyDescent="0.3">
      <c r="A4" s="3">
        <v>1</v>
      </c>
      <c r="B4" s="3">
        <v>200</v>
      </c>
      <c r="C4" s="3">
        <v>400</v>
      </c>
      <c r="D4" s="4">
        <v>0.1</v>
      </c>
      <c r="E4" s="3">
        <v>6</v>
      </c>
      <c r="F4" s="4">
        <v>0</v>
      </c>
      <c r="G4" s="4">
        <v>147.66</v>
      </c>
      <c r="H4" s="4">
        <v>44.57</v>
      </c>
      <c r="I4" s="4"/>
      <c r="J4" s="4">
        <f t="shared" si="0"/>
        <v>2.2284999999999999</v>
      </c>
      <c r="K4" s="5">
        <f t="shared" si="1"/>
        <v>6.0888838629719757</v>
      </c>
      <c r="L4" s="5">
        <f t="shared" si="2"/>
        <v>5.9622806812603617</v>
      </c>
      <c r="M4" s="5">
        <f t="shared" si="3"/>
        <v>6.2192888167679357</v>
      </c>
      <c r="N4" s="5">
        <f t="shared" si="4"/>
        <v>0.126603181711614</v>
      </c>
      <c r="O4" s="5">
        <f t="shared" si="5"/>
        <v>0.13040495379595995</v>
      </c>
    </row>
    <row r="5" spans="1:15" ht="15.6" customHeight="1" x14ac:dyDescent="0.3">
      <c r="A5" s="3">
        <v>1</v>
      </c>
      <c r="B5" s="3">
        <v>200</v>
      </c>
      <c r="C5" s="3">
        <v>400</v>
      </c>
      <c r="D5" s="4">
        <v>0.1</v>
      </c>
      <c r="E5" s="3">
        <v>7</v>
      </c>
      <c r="F5" s="4">
        <v>0</v>
      </c>
      <c r="G5" s="4">
        <v>122.76</v>
      </c>
      <c r="H5" s="4">
        <v>42.3</v>
      </c>
      <c r="I5" s="4"/>
      <c r="J5" s="4">
        <f t="shared" si="0"/>
        <v>2.1149999999999998</v>
      </c>
      <c r="K5" s="5">
        <f t="shared" si="1"/>
        <v>6.8909437062385859</v>
      </c>
      <c r="L5" s="5">
        <f t="shared" si="2"/>
        <v>6.7467114806588118</v>
      </c>
      <c r="M5" s="5">
        <f t="shared" si="3"/>
        <v>7.0401310175009897</v>
      </c>
      <c r="N5" s="5">
        <f t="shared" si="4"/>
        <v>0.14423222557977411</v>
      </c>
      <c r="O5" s="5">
        <f t="shared" si="5"/>
        <v>0.14918731126240381</v>
      </c>
    </row>
    <row r="6" spans="1:15" ht="15.6" customHeight="1" x14ac:dyDescent="0.3">
      <c r="A6" s="3">
        <v>1</v>
      </c>
      <c r="B6" s="3">
        <v>200</v>
      </c>
      <c r="C6" s="3">
        <v>400</v>
      </c>
      <c r="D6" s="4">
        <v>0.1</v>
      </c>
      <c r="E6" s="3">
        <v>8</v>
      </c>
      <c r="F6" s="4">
        <v>0</v>
      </c>
      <c r="G6" s="4">
        <v>106.59</v>
      </c>
      <c r="H6" s="4">
        <v>50.07</v>
      </c>
      <c r="I6" s="4"/>
      <c r="J6" s="4">
        <f t="shared" si="0"/>
        <v>2.5034999999999998</v>
      </c>
      <c r="K6" s="5">
        <f t="shared" si="1"/>
        <v>7.5043478817465328</v>
      </c>
      <c r="L6" s="5">
        <f t="shared" si="2"/>
        <v>7.3088861352749284</v>
      </c>
      <c r="M6" s="5">
        <f t="shared" si="3"/>
        <v>7.7090230151179195</v>
      </c>
      <c r="N6" s="5">
        <f t="shared" si="4"/>
        <v>0.19546174647160441</v>
      </c>
      <c r="O6" s="5">
        <f t="shared" si="5"/>
        <v>0.20467513337138676</v>
      </c>
    </row>
    <row r="7" spans="1:15" ht="15.6" customHeight="1" x14ac:dyDescent="0.3">
      <c r="A7" s="3">
        <v>1</v>
      </c>
      <c r="B7" s="3">
        <v>200</v>
      </c>
      <c r="C7" s="3">
        <v>400</v>
      </c>
      <c r="D7" s="4">
        <v>0.1</v>
      </c>
      <c r="E7" s="3">
        <v>9</v>
      </c>
      <c r="F7" s="4">
        <v>0</v>
      </c>
      <c r="G7" s="4">
        <v>97.76</v>
      </c>
      <c r="H7" s="4">
        <v>49.48</v>
      </c>
      <c r="I7" s="4"/>
      <c r="J7" s="4">
        <f t="shared" si="0"/>
        <v>2.4739999999999998</v>
      </c>
      <c r="K7" s="5">
        <f t="shared" si="1"/>
        <v>7.8799005748516464</v>
      </c>
      <c r="L7" s="5">
        <f t="shared" si="2"/>
        <v>7.669656259707379</v>
      </c>
      <c r="M7" s="5">
        <f t="shared" si="3"/>
        <v>8.1008430294793605</v>
      </c>
      <c r="N7" s="5">
        <f t="shared" si="4"/>
        <v>0.21024431514426745</v>
      </c>
      <c r="O7" s="5">
        <f t="shared" si="5"/>
        <v>0.22094245462771411</v>
      </c>
    </row>
    <row r="8" spans="1:15" ht="15.6" customHeight="1" x14ac:dyDescent="0.3">
      <c r="A8" s="3">
        <v>1</v>
      </c>
      <c r="B8" s="3">
        <v>200</v>
      </c>
      <c r="C8" s="3">
        <v>400</v>
      </c>
      <c r="D8" s="4">
        <v>0.1</v>
      </c>
      <c r="E8" s="3">
        <v>10</v>
      </c>
      <c r="F8" s="4">
        <v>0</v>
      </c>
      <c r="G8" s="4">
        <v>89.22</v>
      </c>
      <c r="H8" s="4">
        <v>46.52</v>
      </c>
      <c r="I8" s="4"/>
      <c r="J8" s="4">
        <f t="shared" si="0"/>
        <v>2.3260000000000001</v>
      </c>
      <c r="K8" s="5">
        <f t="shared" si="1"/>
        <v>8.2768903147804593</v>
      </c>
      <c r="L8" s="5">
        <f t="shared" si="2"/>
        <v>8.0604583823977709</v>
      </c>
      <c r="M8" s="5">
        <f t="shared" si="3"/>
        <v>8.5046765121745729</v>
      </c>
      <c r="N8" s="5">
        <f t="shared" si="4"/>
        <v>0.21643193238268843</v>
      </c>
      <c r="O8" s="5">
        <f t="shared" si="5"/>
        <v>0.22778619739411354</v>
      </c>
    </row>
    <row r="9" spans="1:15" ht="15.6" customHeight="1" x14ac:dyDescent="0.3">
      <c r="A9" s="3">
        <v>1</v>
      </c>
      <c r="B9" s="3">
        <v>200</v>
      </c>
      <c r="C9" s="3">
        <v>400</v>
      </c>
      <c r="D9" s="4">
        <v>0.1</v>
      </c>
      <c r="E9" s="3">
        <v>11</v>
      </c>
      <c r="F9" s="4">
        <v>0</v>
      </c>
      <c r="G9" s="4">
        <v>89.15</v>
      </c>
      <c r="H9" s="4">
        <v>52.69</v>
      </c>
      <c r="I9" s="4"/>
      <c r="J9" s="4">
        <f t="shared" si="0"/>
        <v>2.6345000000000001</v>
      </c>
      <c r="K9" s="5">
        <f t="shared" si="1"/>
        <v>8.2802990287227018</v>
      </c>
      <c r="L9" s="5">
        <f t="shared" si="2"/>
        <v>8.0357683586775224</v>
      </c>
      <c r="M9" s="5">
        <f t="shared" si="3"/>
        <v>8.5394238777938369</v>
      </c>
      <c r="N9" s="5">
        <f t="shared" si="4"/>
        <v>0.24453067004517948</v>
      </c>
      <c r="O9" s="5">
        <f t="shared" si="5"/>
        <v>0.25912484907113509</v>
      </c>
    </row>
    <row r="10" spans="1:15" ht="15.6" customHeight="1" x14ac:dyDescent="0.3">
      <c r="A10" s="3">
        <v>1</v>
      </c>
      <c r="B10" s="3">
        <v>200</v>
      </c>
      <c r="C10" s="3">
        <v>400</v>
      </c>
      <c r="D10" s="4">
        <v>0.1</v>
      </c>
      <c r="E10" s="3">
        <v>12</v>
      </c>
      <c r="F10" s="4">
        <v>0</v>
      </c>
      <c r="G10" s="4">
        <v>83.04</v>
      </c>
      <c r="H10" s="4">
        <v>52.69</v>
      </c>
      <c r="I10" s="4"/>
      <c r="J10" s="4">
        <f t="shared" si="0"/>
        <v>2.6345000000000001</v>
      </c>
      <c r="K10" s="5">
        <f t="shared" si="1"/>
        <v>8.5886390987926102</v>
      </c>
      <c r="L10" s="5">
        <f t="shared" si="2"/>
        <v>8.326648408327479</v>
      </c>
      <c r="M10" s="5">
        <f t="shared" si="3"/>
        <v>8.8674549477966185</v>
      </c>
      <c r="N10" s="5">
        <f t="shared" si="4"/>
        <v>0.26199069046513124</v>
      </c>
      <c r="O10" s="5">
        <f t="shared" si="5"/>
        <v>0.27881584900400824</v>
      </c>
    </row>
    <row r="11" spans="1:15" ht="15.6" customHeight="1" x14ac:dyDescent="0.3">
      <c r="A11" s="3">
        <v>1</v>
      </c>
      <c r="B11" s="3">
        <v>200</v>
      </c>
      <c r="C11" s="3">
        <v>400</v>
      </c>
      <c r="D11" s="4">
        <v>0.1</v>
      </c>
      <c r="E11" s="3">
        <v>13</v>
      </c>
      <c r="F11" s="4">
        <v>0</v>
      </c>
      <c r="G11" s="4">
        <v>82.48</v>
      </c>
      <c r="H11" s="4">
        <v>57.19</v>
      </c>
      <c r="I11" s="4"/>
      <c r="J11" s="4">
        <f t="shared" si="0"/>
        <v>2.8594999999999997</v>
      </c>
      <c r="K11" s="5">
        <f t="shared" si="1"/>
        <v>8.6180259810818356</v>
      </c>
      <c r="L11" s="5">
        <f t="shared" si="2"/>
        <v>8.3325116526591767</v>
      </c>
      <c r="M11" s="5">
        <f t="shared" si="3"/>
        <v>8.9236397484901282</v>
      </c>
      <c r="N11" s="5">
        <f t="shared" si="4"/>
        <v>0.28551432842265889</v>
      </c>
      <c r="O11" s="5">
        <f t="shared" si="5"/>
        <v>0.3056137674082926</v>
      </c>
    </row>
    <row r="12" spans="1:15" ht="15.6" customHeight="1" x14ac:dyDescent="0.3">
      <c r="A12" s="3">
        <v>1</v>
      </c>
      <c r="B12" s="3">
        <v>200</v>
      </c>
      <c r="C12" s="3">
        <v>400</v>
      </c>
      <c r="D12" s="4">
        <v>0.1</v>
      </c>
      <c r="E12" s="3">
        <v>14</v>
      </c>
      <c r="F12" s="4">
        <v>0</v>
      </c>
      <c r="G12" s="4">
        <v>79.77</v>
      </c>
      <c r="H12" s="4">
        <v>52.66</v>
      </c>
      <c r="I12" s="4"/>
      <c r="J12" s="4">
        <f t="shared" si="0"/>
        <v>2.633</v>
      </c>
      <c r="K12" s="5">
        <f t="shared" si="1"/>
        <v>8.7631165833241411</v>
      </c>
      <c r="L12" s="5">
        <f t="shared" si="2"/>
        <v>8.4908664909335076</v>
      </c>
      <c r="M12" s="5">
        <f t="shared" si="3"/>
        <v>9.0535816859795197</v>
      </c>
      <c r="N12" s="5">
        <f t="shared" si="4"/>
        <v>0.27225009239063347</v>
      </c>
      <c r="O12" s="5">
        <f t="shared" si="5"/>
        <v>0.29046510265537862</v>
      </c>
    </row>
    <row r="13" spans="1:15" ht="15.6" customHeight="1" x14ac:dyDescent="0.3">
      <c r="A13" s="3">
        <v>1</v>
      </c>
      <c r="B13" s="3">
        <v>200</v>
      </c>
      <c r="C13" s="3">
        <v>400</v>
      </c>
      <c r="D13" s="4">
        <v>0.1</v>
      </c>
      <c r="E13" s="3">
        <v>15</v>
      </c>
      <c r="F13" s="4">
        <v>0</v>
      </c>
      <c r="G13" s="4">
        <v>73.599999999999994</v>
      </c>
      <c r="H13" s="4">
        <v>46.93</v>
      </c>
      <c r="I13" s="4"/>
      <c r="J13" s="4">
        <f t="shared" si="0"/>
        <v>2.3464999999999998</v>
      </c>
      <c r="K13" s="5">
        <f t="shared" si="1"/>
        <v>9.112734360461447</v>
      </c>
      <c r="L13" s="5">
        <f t="shared" si="2"/>
        <v>8.8494927347863168</v>
      </c>
      <c r="M13" s="5">
        <f t="shared" si="3"/>
        <v>9.3929674673440449</v>
      </c>
      <c r="N13" s="5">
        <f t="shared" si="4"/>
        <v>0.26324162567513021</v>
      </c>
      <c r="O13" s="5">
        <f t="shared" si="5"/>
        <v>0.28023310688259784</v>
      </c>
    </row>
    <row r="14" spans="1:15" ht="15.6" customHeight="1" x14ac:dyDescent="0.3">
      <c r="A14" s="3">
        <v>1</v>
      </c>
      <c r="B14" s="3">
        <v>200</v>
      </c>
      <c r="C14" s="3">
        <v>400</v>
      </c>
      <c r="D14" s="4">
        <v>0.1</v>
      </c>
      <c r="E14" s="3">
        <v>16</v>
      </c>
      <c r="F14" s="4">
        <v>0</v>
      </c>
      <c r="G14" s="4">
        <v>74.84</v>
      </c>
      <c r="H14" s="4">
        <v>54.48</v>
      </c>
      <c r="I14" s="4"/>
      <c r="J14" s="4">
        <f t="shared" si="0"/>
        <v>2.7239999999999998</v>
      </c>
      <c r="K14" s="5">
        <f t="shared" si="1"/>
        <v>9.0401747155567129</v>
      </c>
      <c r="L14" s="5">
        <f t="shared" si="2"/>
        <v>8.7409039833442606</v>
      </c>
      <c r="M14" s="5">
        <f t="shared" si="3"/>
        <v>9.3616044694715299</v>
      </c>
      <c r="N14" s="5">
        <f t="shared" si="4"/>
        <v>0.29927073221245237</v>
      </c>
      <c r="O14" s="5">
        <f t="shared" si="5"/>
        <v>0.32142975391481698</v>
      </c>
    </row>
    <row r="15" spans="1:15" ht="15.6" customHeight="1" x14ac:dyDescent="0.3">
      <c r="A15" s="3">
        <v>1</v>
      </c>
      <c r="B15" s="3">
        <v>200</v>
      </c>
      <c r="C15" s="3">
        <v>400</v>
      </c>
      <c r="D15" s="4">
        <v>0.1</v>
      </c>
      <c r="E15" s="3">
        <v>17</v>
      </c>
      <c r="F15" s="4">
        <v>0</v>
      </c>
      <c r="G15" s="4">
        <v>75.72</v>
      </c>
      <c r="H15" s="4">
        <v>59.22</v>
      </c>
      <c r="I15" s="4"/>
      <c r="J15" s="4">
        <f t="shared" si="0"/>
        <v>2.9609999999999999</v>
      </c>
      <c r="K15" s="5">
        <f t="shared" si="1"/>
        <v>8.9894064509188443</v>
      </c>
      <c r="L15" s="5">
        <f t="shared" si="2"/>
        <v>8.6686811404428354</v>
      </c>
      <c r="M15" s="5">
        <f t="shared" si="3"/>
        <v>9.3357194356789073</v>
      </c>
      <c r="N15" s="5">
        <f t="shared" si="4"/>
        <v>0.32072531047600883</v>
      </c>
      <c r="O15" s="5">
        <f t="shared" si="5"/>
        <v>0.346312984760063</v>
      </c>
    </row>
    <row r="16" spans="1:15" ht="15.6" customHeight="1" x14ac:dyDescent="0.3">
      <c r="A16" s="3">
        <v>1</v>
      </c>
      <c r="B16" s="3">
        <v>200</v>
      </c>
      <c r="C16" s="3">
        <v>400</v>
      </c>
      <c r="D16" s="4">
        <v>0.1</v>
      </c>
      <c r="E16" s="3">
        <v>18</v>
      </c>
      <c r="F16" s="4">
        <v>0</v>
      </c>
      <c r="G16" s="4">
        <v>67.12</v>
      </c>
      <c r="H16" s="4">
        <v>48.96</v>
      </c>
      <c r="I16" s="4"/>
      <c r="J16" s="4">
        <f t="shared" si="0"/>
        <v>2.448</v>
      </c>
      <c r="K16" s="5">
        <f t="shared" si="1"/>
        <v>9.5129930256299975</v>
      </c>
      <c r="L16" s="5">
        <f t="shared" si="2"/>
        <v>9.2131316588171597</v>
      </c>
      <c r="M16" s="5">
        <f t="shared" si="3"/>
        <v>9.8351042586418274</v>
      </c>
      <c r="N16" s="5">
        <f t="shared" si="4"/>
        <v>0.29986136681283782</v>
      </c>
      <c r="O16" s="5">
        <f t="shared" si="5"/>
        <v>0.32211123301182987</v>
      </c>
    </row>
    <row r="17" spans="1:15" ht="15.6" customHeight="1" x14ac:dyDescent="0.3">
      <c r="A17" s="3">
        <v>1</v>
      </c>
      <c r="B17" s="3">
        <v>200</v>
      </c>
      <c r="C17" s="3">
        <v>400</v>
      </c>
      <c r="D17" s="4">
        <v>0.1</v>
      </c>
      <c r="E17" s="3">
        <v>19</v>
      </c>
      <c r="F17" s="4">
        <v>0</v>
      </c>
      <c r="G17" s="4">
        <v>73.3</v>
      </c>
      <c r="H17" s="4">
        <v>57.7</v>
      </c>
      <c r="I17" s="4"/>
      <c r="J17" s="4">
        <f t="shared" si="0"/>
        <v>2.8850000000000002</v>
      </c>
      <c r="K17" s="5">
        <f t="shared" si="1"/>
        <v>9.1304727574251583</v>
      </c>
      <c r="L17" s="5">
        <f t="shared" si="2"/>
        <v>8.8077381272812474</v>
      </c>
      <c r="M17" s="5">
        <f t="shared" si="3"/>
        <v>9.4791298119487308</v>
      </c>
      <c r="N17" s="5">
        <f t="shared" si="4"/>
        <v>0.32273463014391091</v>
      </c>
      <c r="O17" s="5">
        <f t="shared" si="5"/>
        <v>0.34865705452357254</v>
      </c>
    </row>
    <row r="18" spans="1:15" ht="15.6" customHeight="1" x14ac:dyDescent="0.3">
      <c r="A18" s="3">
        <v>1</v>
      </c>
      <c r="B18" s="3">
        <v>200</v>
      </c>
      <c r="C18" s="3">
        <v>400</v>
      </c>
      <c r="D18" s="4">
        <v>0.1</v>
      </c>
      <c r="E18" s="3">
        <v>20</v>
      </c>
      <c r="F18" s="4">
        <v>0</v>
      </c>
      <c r="G18" s="4">
        <v>72.58</v>
      </c>
      <c r="H18" s="4">
        <v>57.64</v>
      </c>
      <c r="I18" s="4"/>
      <c r="J18" s="4">
        <f t="shared" si="0"/>
        <v>2.8820000000000001</v>
      </c>
      <c r="K18" s="5">
        <f t="shared" si="1"/>
        <v>9.17334286519106</v>
      </c>
      <c r="L18" s="5">
        <f t="shared" si="2"/>
        <v>8.8478502612617405</v>
      </c>
      <c r="M18" s="5">
        <f t="shared" si="3"/>
        <v>9.5252211981281505</v>
      </c>
      <c r="N18" s="5">
        <f t="shared" si="4"/>
        <v>0.32549260392931956</v>
      </c>
      <c r="O18" s="5">
        <f t="shared" si="5"/>
        <v>0.35187833293709048</v>
      </c>
    </row>
    <row r="19" spans="1:15" ht="15.6" customHeight="1" x14ac:dyDescent="0.3">
      <c r="A19" s="13" t="s">
        <v>15</v>
      </c>
      <c r="B19" s="7"/>
      <c r="C19" s="7"/>
      <c r="D19" s="8"/>
      <c r="E19" s="7"/>
      <c r="F19" s="8"/>
      <c r="G19" s="8"/>
      <c r="H19" s="8"/>
      <c r="I19" s="8"/>
      <c r="J19" s="9"/>
      <c r="K19" s="10"/>
      <c r="L19" s="10"/>
      <c r="M19" s="10"/>
      <c r="N19" s="10"/>
      <c r="O19" s="10"/>
    </row>
    <row r="20" spans="1:15" ht="15.6" customHeight="1" x14ac:dyDescent="0.3">
      <c r="A20" s="3">
        <v>2</v>
      </c>
      <c r="B20" s="3">
        <v>200</v>
      </c>
      <c r="C20" s="3">
        <v>400</v>
      </c>
      <c r="D20" s="4">
        <v>0.1</v>
      </c>
      <c r="E20" s="3">
        <v>5</v>
      </c>
      <c r="F20" s="4">
        <v>0</v>
      </c>
      <c r="G20" s="4">
        <v>183.58</v>
      </c>
      <c r="H20" s="4">
        <v>20.49</v>
      </c>
      <c r="I20" s="4"/>
      <c r="J20" s="4">
        <f t="shared" ref="J20:J35" si="6">H20/SQRT(C20)</f>
        <v>1.0245</v>
      </c>
      <c r="K20" s="5">
        <f t="shared" ref="K20:K35" si="7">-10*LOG10(G20/(B20*3))</f>
        <v>5.1432588486242921</v>
      </c>
      <c r="L20" s="5">
        <f t="shared" ref="L20:L35" si="8">-10*LOG10((G20+1.96*J20)/(B20*3))</f>
        <v>5.0960131199118628</v>
      </c>
      <c r="M20" s="5">
        <f t="shared" ref="M20:M35" si="9">-10*LOG10((G20-1.96*J20)/(B20*3))</f>
        <v>5.1910242090277929</v>
      </c>
      <c r="N20" s="5">
        <f t="shared" ref="N20:N35" si="10">K20-L20</f>
        <v>4.7245728712429269E-2</v>
      </c>
      <c r="O20" s="5">
        <f t="shared" ref="O20:O35" si="11">M20-K20</f>
        <v>4.7765360403500878E-2</v>
      </c>
    </row>
    <row r="21" spans="1:15" ht="15.6" customHeight="1" x14ac:dyDescent="0.3">
      <c r="A21" s="3">
        <v>2</v>
      </c>
      <c r="B21" s="3">
        <v>200</v>
      </c>
      <c r="C21" s="3">
        <v>400</v>
      </c>
      <c r="D21" s="4">
        <v>0.1</v>
      </c>
      <c r="E21" s="3">
        <v>6</v>
      </c>
      <c r="F21" s="3">
        <v>0</v>
      </c>
      <c r="G21" s="4">
        <v>136.03</v>
      </c>
      <c r="H21" s="4">
        <v>19.73</v>
      </c>
      <c r="I21" s="4"/>
      <c r="J21" s="4">
        <f t="shared" si="6"/>
        <v>0.98650000000000004</v>
      </c>
      <c r="K21" s="5">
        <f t="shared" si="7"/>
        <v>6.4451655232471596</v>
      </c>
      <c r="L21" s="5">
        <f t="shared" si="8"/>
        <v>6.3838692100358694</v>
      </c>
      <c r="M21" s="5">
        <f t="shared" si="9"/>
        <v>6.5073393728043127</v>
      </c>
      <c r="N21" s="5">
        <f t="shared" si="10"/>
        <v>6.1296313211290254E-2</v>
      </c>
      <c r="O21" s="5">
        <f t="shared" si="11"/>
        <v>6.2173849557153105E-2</v>
      </c>
    </row>
    <row r="22" spans="1:15" ht="15.6" customHeight="1" x14ac:dyDescent="0.3">
      <c r="A22" s="3">
        <v>2</v>
      </c>
      <c r="B22" s="3">
        <v>200</v>
      </c>
      <c r="C22" s="3">
        <v>400</v>
      </c>
      <c r="D22" s="4">
        <v>0.1</v>
      </c>
      <c r="E22" s="3">
        <v>7</v>
      </c>
      <c r="F22" s="4">
        <v>0</v>
      </c>
      <c r="G22" s="4">
        <v>105.35</v>
      </c>
      <c r="H22" s="4">
        <v>16.989999999999998</v>
      </c>
      <c r="I22" s="4"/>
      <c r="J22" s="4">
        <f t="shared" si="6"/>
        <v>0.84949999999999992</v>
      </c>
      <c r="K22" s="5">
        <f t="shared" si="7"/>
        <v>7.5551671043952471</v>
      </c>
      <c r="L22" s="5">
        <f t="shared" si="8"/>
        <v>7.4870651339633554</v>
      </c>
      <c r="M22" s="5">
        <f t="shared" si="9"/>
        <v>7.6243540214860293</v>
      </c>
      <c r="N22" s="5">
        <f t="shared" si="10"/>
        <v>6.8101970431891701E-2</v>
      </c>
      <c r="O22" s="5">
        <f t="shared" si="11"/>
        <v>6.9186917090782174E-2</v>
      </c>
    </row>
    <row r="23" spans="1:15" ht="15.6" customHeight="1" x14ac:dyDescent="0.3">
      <c r="A23" s="3">
        <v>2</v>
      </c>
      <c r="B23" s="3">
        <v>200</v>
      </c>
      <c r="C23" s="3">
        <v>400</v>
      </c>
      <c r="D23" s="4">
        <v>0.1</v>
      </c>
      <c r="E23" s="3">
        <v>8</v>
      </c>
      <c r="F23" s="4">
        <v>0</v>
      </c>
      <c r="G23" s="4">
        <v>89.33</v>
      </c>
      <c r="H23" s="4">
        <v>16.14</v>
      </c>
      <c r="I23" s="4"/>
      <c r="J23" s="4">
        <f t="shared" si="6"/>
        <v>0.80700000000000005</v>
      </c>
      <c r="K23" s="5">
        <f t="shared" si="7"/>
        <v>8.2715391639483862</v>
      </c>
      <c r="L23" s="5">
        <f t="shared" si="8"/>
        <v>8.1953137592706309</v>
      </c>
      <c r="M23" s="5">
        <f t="shared" si="9"/>
        <v>8.3491263799597988</v>
      </c>
      <c r="N23" s="5">
        <f t="shared" si="10"/>
        <v>7.6225404677755293E-2</v>
      </c>
      <c r="O23" s="5">
        <f t="shared" si="11"/>
        <v>7.7587216011412607E-2</v>
      </c>
    </row>
    <row r="24" spans="1:15" ht="15.6" customHeight="1" x14ac:dyDescent="0.3">
      <c r="A24" s="3">
        <v>2</v>
      </c>
      <c r="B24" s="3">
        <v>200</v>
      </c>
      <c r="C24" s="3">
        <v>400</v>
      </c>
      <c r="D24" s="4">
        <v>0.1</v>
      </c>
      <c r="E24" s="3">
        <v>9</v>
      </c>
      <c r="F24" s="4">
        <v>0</v>
      </c>
      <c r="G24" s="4">
        <v>74.61</v>
      </c>
      <c r="H24" s="4">
        <v>13.52</v>
      </c>
      <c r="I24" s="4"/>
      <c r="J24" s="4">
        <f t="shared" si="6"/>
        <v>0.67599999999999993</v>
      </c>
      <c r="K24" s="5">
        <f t="shared" si="7"/>
        <v>9.0535421039404511</v>
      </c>
      <c r="L24" s="5">
        <f t="shared" si="8"/>
        <v>8.9770948187308104</v>
      </c>
      <c r="M24" s="5">
        <f t="shared" si="9"/>
        <v>9.1313592115233142</v>
      </c>
      <c r="N24" s="5">
        <f t="shared" si="10"/>
        <v>7.6447285209640725E-2</v>
      </c>
      <c r="O24" s="5">
        <f t="shared" si="11"/>
        <v>7.7817107582863088E-2</v>
      </c>
    </row>
    <row r="25" spans="1:15" ht="15.6" customHeight="1" x14ac:dyDescent="0.3">
      <c r="A25" s="3">
        <v>2</v>
      </c>
      <c r="B25" s="3">
        <v>200</v>
      </c>
      <c r="C25" s="3">
        <v>400</v>
      </c>
      <c r="D25" s="4">
        <v>0.1</v>
      </c>
      <c r="E25" s="3">
        <v>10</v>
      </c>
      <c r="F25" s="4">
        <v>0</v>
      </c>
      <c r="G25" s="4">
        <v>67.39</v>
      </c>
      <c r="H25" s="4">
        <v>14.65</v>
      </c>
      <c r="I25" s="4"/>
      <c r="J25" s="4">
        <f t="shared" si="6"/>
        <v>0.73250000000000004</v>
      </c>
      <c r="K25" s="5">
        <f t="shared" si="7"/>
        <v>9.4955579401194132</v>
      </c>
      <c r="L25" s="5">
        <f t="shared" si="8"/>
        <v>9.4040061325192834</v>
      </c>
      <c r="M25" s="5">
        <f t="shared" si="9"/>
        <v>9.589081350290142</v>
      </c>
      <c r="N25" s="5">
        <f t="shared" si="10"/>
        <v>9.155180760012982E-2</v>
      </c>
      <c r="O25" s="5">
        <f t="shared" si="11"/>
        <v>9.3523410170728738E-2</v>
      </c>
    </row>
    <row r="26" spans="1:15" ht="15.6" customHeight="1" x14ac:dyDescent="0.3">
      <c r="A26" s="3">
        <v>2</v>
      </c>
      <c r="B26" s="3">
        <v>200</v>
      </c>
      <c r="C26" s="3">
        <v>400</v>
      </c>
      <c r="D26" s="4">
        <v>0.1</v>
      </c>
      <c r="E26" s="3">
        <v>11</v>
      </c>
      <c r="F26" s="4">
        <v>0</v>
      </c>
      <c r="G26" s="4">
        <v>61.33</v>
      </c>
      <c r="H26" s="4">
        <v>14.56</v>
      </c>
      <c r="I26" s="4"/>
      <c r="J26" s="4">
        <f t="shared" si="6"/>
        <v>0.72799999999999998</v>
      </c>
      <c r="K26" s="5">
        <f t="shared" si="7"/>
        <v>9.9047828569615071</v>
      </c>
      <c r="L26" s="5">
        <f t="shared" si="8"/>
        <v>9.8048990617086869</v>
      </c>
      <c r="M26" s="5">
        <f t="shared" si="9"/>
        <v>10.007018075686897</v>
      </c>
      <c r="N26" s="5">
        <f t="shared" si="10"/>
        <v>9.9883795252820207E-2</v>
      </c>
      <c r="O26" s="5">
        <f t="shared" si="11"/>
        <v>0.1022352187253901</v>
      </c>
    </row>
    <row r="27" spans="1:15" ht="15.6" customHeight="1" x14ac:dyDescent="0.3">
      <c r="A27" s="3">
        <v>2</v>
      </c>
      <c r="B27" s="3">
        <v>200</v>
      </c>
      <c r="C27" s="3">
        <v>400</v>
      </c>
      <c r="D27" s="4">
        <v>0.1</v>
      </c>
      <c r="E27" s="3">
        <v>12</v>
      </c>
      <c r="F27" s="4">
        <v>0</v>
      </c>
      <c r="G27" s="4">
        <v>56.51</v>
      </c>
      <c r="H27" s="4">
        <v>13.63</v>
      </c>
      <c r="I27" s="4"/>
      <c r="J27" s="4">
        <f t="shared" si="6"/>
        <v>0.68149999999999999</v>
      </c>
      <c r="K27" s="5">
        <f t="shared" si="7"/>
        <v>10.260259430857454</v>
      </c>
      <c r="L27" s="5">
        <f t="shared" si="8"/>
        <v>10.158798691635598</v>
      </c>
      <c r="M27" s="5">
        <f t="shared" si="9"/>
        <v>10.364147332907169</v>
      </c>
      <c r="N27" s="5">
        <f t="shared" si="10"/>
        <v>0.1014607392218565</v>
      </c>
      <c r="O27" s="5">
        <f t="shared" si="11"/>
        <v>0.10388790204971521</v>
      </c>
    </row>
    <row r="28" spans="1:15" ht="15.6" customHeight="1" x14ac:dyDescent="0.3">
      <c r="A28" s="3">
        <v>2</v>
      </c>
      <c r="B28" s="3">
        <v>200</v>
      </c>
      <c r="C28" s="3">
        <v>400</v>
      </c>
      <c r="D28" s="4">
        <v>0.1</v>
      </c>
      <c r="E28" s="3">
        <v>13</v>
      </c>
      <c r="F28" s="3">
        <v>0</v>
      </c>
      <c r="G28" s="4">
        <v>52.66</v>
      </c>
      <c r="H28" s="4">
        <v>11.38</v>
      </c>
      <c r="I28" s="4"/>
      <c r="J28" s="4">
        <f t="shared" si="6"/>
        <v>0.56900000000000006</v>
      </c>
      <c r="K28" s="5">
        <f t="shared" si="7"/>
        <v>10.566703956135942</v>
      </c>
      <c r="L28" s="5">
        <f t="shared" si="8"/>
        <v>10.475688930546305</v>
      </c>
      <c r="M28" s="5">
        <f t="shared" si="9"/>
        <v>10.659667285575971</v>
      </c>
      <c r="N28" s="5">
        <f t="shared" si="10"/>
        <v>9.1015025589637588E-2</v>
      </c>
      <c r="O28" s="5">
        <f t="shared" si="11"/>
        <v>9.2963329440028275E-2</v>
      </c>
    </row>
    <row r="29" spans="1:15" ht="15.6" customHeight="1" x14ac:dyDescent="0.3">
      <c r="A29" s="3">
        <v>2</v>
      </c>
      <c r="B29" s="3">
        <v>200</v>
      </c>
      <c r="C29" s="3">
        <v>400</v>
      </c>
      <c r="D29" s="4">
        <v>0.1</v>
      </c>
      <c r="E29" s="3">
        <v>14</v>
      </c>
      <c r="F29" s="4">
        <v>0</v>
      </c>
      <c r="G29" s="4">
        <v>49</v>
      </c>
      <c r="H29" s="4">
        <v>12.22</v>
      </c>
      <c r="I29" s="4"/>
      <c r="J29" s="4">
        <f t="shared" si="6"/>
        <v>0.61099999999999999</v>
      </c>
      <c r="K29" s="5">
        <f t="shared" si="7"/>
        <v>10.8795517035513</v>
      </c>
      <c r="L29" s="5">
        <f t="shared" si="8"/>
        <v>10.77468642885832</v>
      </c>
      <c r="M29" s="5">
        <f t="shared" si="9"/>
        <v>10.987011853302992</v>
      </c>
      <c r="N29" s="5">
        <f t="shared" si="10"/>
        <v>0.10486527469297968</v>
      </c>
      <c r="O29" s="5">
        <f t="shared" si="11"/>
        <v>0.1074601497516916</v>
      </c>
    </row>
    <row r="30" spans="1:15" ht="15.6" customHeight="1" x14ac:dyDescent="0.3">
      <c r="A30" s="3">
        <v>2</v>
      </c>
      <c r="B30" s="3">
        <v>200</v>
      </c>
      <c r="C30" s="3">
        <v>400</v>
      </c>
      <c r="D30" s="4">
        <v>0.1</v>
      </c>
      <c r="E30" s="3">
        <v>15</v>
      </c>
      <c r="F30" s="3">
        <v>0</v>
      </c>
      <c r="G30" s="4">
        <v>47.63</v>
      </c>
      <c r="H30" s="4">
        <v>18.62</v>
      </c>
      <c r="I30" s="4"/>
      <c r="J30" s="4">
        <f t="shared" si="6"/>
        <v>0.93100000000000005</v>
      </c>
      <c r="K30" s="5">
        <f t="shared" si="7"/>
        <v>11.002706688720531</v>
      </c>
      <c r="L30" s="5">
        <f t="shared" si="8"/>
        <v>10.839431517761259</v>
      </c>
      <c r="M30" s="5">
        <f t="shared" si="9"/>
        <v>11.17236087381675</v>
      </c>
      <c r="N30" s="5">
        <f t="shared" si="10"/>
        <v>0.16327517095927213</v>
      </c>
      <c r="O30" s="5">
        <f t="shared" si="11"/>
        <v>0.16965418509621877</v>
      </c>
    </row>
    <row r="31" spans="1:15" ht="15.6" customHeight="1" x14ac:dyDescent="0.3">
      <c r="A31" s="3">
        <v>2</v>
      </c>
      <c r="B31" s="3">
        <v>200</v>
      </c>
      <c r="C31" s="3">
        <v>400</v>
      </c>
      <c r="D31" s="4">
        <v>0.1</v>
      </c>
      <c r="E31" s="3">
        <v>16</v>
      </c>
      <c r="F31" s="3">
        <v>0</v>
      </c>
      <c r="G31" s="4">
        <v>44.22</v>
      </c>
      <c r="H31" s="4">
        <v>10.52</v>
      </c>
      <c r="I31" s="4"/>
      <c r="J31" s="4">
        <f t="shared" si="6"/>
        <v>0.52600000000000002</v>
      </c>
      <c r="K31" s="5">
        <f t="shared" si="7"/>
        <v>11.325325121409485</v>
      </c>
      <c r="L31" s="5">
        <f t="shared" si="8"/>
        <v>11.225234531787734</v>
      </c>
      <c r="M31" s="5">
        <f t="shared" si="9"/>
        <v>11.427776996664587</v>
      </c>
      <c r="N31" s="5">
        <f t="shared" si="10"/>
        <v>0.10009058962175033</v>
      </c>
      <c r="O31" s="5">
        <f t="shared" si="11"/>
        <v>0.10245187525510246</v>
      </c>
    </row>
    <row r="32" spans="1:15" ht="15.6" customHeight="1" x14ac:dyDescent="0.3">
      <c r="A32" s="3">
        <v>2</v>
      </c>
      <c r="B32" s="3">
        <v>200</v>
      </c>
      <c r="C32" s="3">
        <v>400</v>
      </c>
      <c r="D32" s="4">
        <v>0.1</v>
      </c>
      <c r="E32" s="3">
        <v>17</v>
      </c>
      <c r="F32" s="4">
        <v>0</v>
      </c>
      <c r="G32" s="4">
        <v>40.86</v>
      </c>
      <c r="H32" s="4">
        <v>16.760000000000002</v>
      </c>
      <c r="I32" s="4"/>
      <c r="J32" s="4">
        <f t="shared" si="6"/>
        <v>0.83800000000000008</v>
      </c>
      <c r="K32" s="5">
        <f t="shared" si="7"/>
        <v>11.668528880872149</v>
      </c>
      <c r="L32" s="5">
        <f t="shared" si="8"/>
        <v>11.497369787123482</v>
      </c>
      <c r="M32" s="5">
        <f t="shared" si="9"/>
        <v>11.846711236824021</v>
      </c>
      <c r="N32" s="5">
        <f t="shared" si="10"/>
        <v>0.17115909374866689</v>
      </c>
      <c r="O32" s="5">
        <f t="shared" si="11"/>
        <v>0.17818235595187204</v>
      </c>
    </row>
    <row r="33" spans="1:15" ht="15.6" customHeight="1" x14ac:dyDescent="0.3">
      <c r="A33" s="3">
        <v>2</v>
      </c>
      <c r="B33" s="3">
        <v>200</v>
      </c>
      <c r="C33" s="3">
        <v>400</v>
      </c>
      <c r="D33" s="4">
        <v>0.1</v>
      </c>
      <c r="E33" s="3">
        <v>18</v>
      </c>
      <c r="F33" s="4">
        <v>0</v>
      </c>
      <c r="G33" s="4">
        <v>39.700000000000003</v>
      </c>
      <c r="H33" s="4">
        <v>14.76</v>
      </c>
      <c r="I33" s="4"/>
      <c r="J33" s="4">
        <f t="shared" si="6"/>
        <v>0.73799999999999999</v>
      </c>
      <c r="K33" s="5">
        <f t="shared" si="7"/>
        <v>11.793607436205287</v>
      </c>
      <c r="L33" s="5">
        <f t="shared" si="8"/>
        <v>11.638185622804043</v>
      </c>
      <c r="M33" s="5">
        <f t="shared" si="9"/>
        <v>11.954798462864343</v>
      </c>
      <c r="N33" s="5">
        <f t="shared" si="10"/>
        <v>0.15542181340124372</v>
      </c>
      <c r="O33" s="5">
        <f t="shared" si="11"/>
        <v>0.16119102665905594</v>
      </c>
    </row>
    <row r="34" spans="1:15" ht="15.6" customHeight="1" x14ac:dyDescent="0.3">
      <c r="A34" s="3">
        <v>2</v>
      </c>
      <c r="B34" s="3">
        <v>200</v>
      </c>
      <c r="C34" s="3">
        <v>400</v>
      </c>
      <c r="D34" s="4">
        <v>0.1</v>
      </c>
      <c r="E34" s="3">
        <v>19</v>
      </c>
      <c r="F34" s="4">
        <v>0</v>
      </c>
      <c r="G34" s="4">
        <v>37.19</v>
      </c>
      <c r="H34" s="4">
        <v>11.03</v>
      </c>
      <c r="I34" s="4"/>
      <c r="J34" s="4">
        <f t="shared" si="6"/>
        <v>0.55149999999999999</v>
      </c>
      <c r="K34" s="5">
        <f t="shared" si="7"/>
        <v>12.07725072024671</v>
      </c>
      <c r="L34" s="5">
        <f t="shared" si="8"/>
        <v>11.952821210099557</v>
      </c>
      <c r="M34" s="5">
        <f t="shared" si="9"/>
        <v>12.205350674712619</v>
      </c>
      <c r="N34" s="5">
        <f t="shared" si="10"/>
        <v>0.1244295101471522</v>
      </c>
      <c r="O34" s="5">
        <f t="shared" si="11"/>
        <v>0.1280999544659096</v>
      </c>
    </row>
    <row r="35" spans="1:15" ht="15.6" customHeight="1" x14ac:dyDescent="0.3">
      <c r="A35" s="3">
        <v>2</v>
      </c>
      <c r="B35" s="3">
        <v>200</v>
      </c>
      <c r="C35" s="3">
        <v>400</v>
      </c>
      <c r="D35" s="4">
        <v>0.1</v>
      </c>
      <c r="E35" s="3">
        <v>20</v>
      </c>
      <c r="F35" s="4">
        <v>0</v>
      </c>
      <c r="G35" s="4">
        <v>35.729999999999997</v>
      </c>
      <c r="H35" s="4">
        <v>9.5399999999999991</v>
      </c>
      <c r="I35" s="4"/>
      <c r="J35" s="4">
        <f t="shared" si="6"/>
        <v>0.47699999999999998</v>
      </c>
      <c r="K35" s="5">
        <f t="shared" si="7"/>
        <v>12.251182341812036</v>
      </c>
      <c r="L35" s="5">
        <f t="shared" si="8"/>
        <v>12.139005086477175</v>
      </c>
      <c r="M35" s="5">
        <f t="shared" si="9"/>
        <v>12.366334110321729</v>
      </c>
      <c r="N35" s="5">
        <f t="shared" si="10"/>
        <v>0.11217725533486167</v>
      </c>
      <c r="O35" s="5">
        <f t="shared" si="11"/>
        <v>0.11515176850969233</v>
      </c>
    </row>
    <row r="36" spans="1:15" ht="15.6" customHeight="1" x14ac:dyDescent="0.3">
      <c r="A36" s="13" t="s">
        <v>16</v>
      </c>
      <c r="B36" s="7"/>
      <c r="C36" s="7"/>
      <c r="D36" s="8"/>
      <c r="E36" s="7"/>
      <c r="F36" s="8"/>
      <c r="G36" s="8"/>
      <c r="H36" s="8"/>
      <c r="I36" s="8"/>
      <c r="J36" s="9"/>
      <c r="K36" s="10"/>
      <c r="L36" s="10"/>
      <c r="M36" s="10"/>
      <c r="N36" s="10"/>
      <c r="O36" s="10"/>
    </row>
    <row r="37" spans="1:15" ht="15.6" customHeight="1" x14ac:dyDescent="0.3">
      <c r="A37" s="1">
        <v>3</v>
      </c>
      <c r="B37" s="1">
        <v>200</v>
      </c>
      <c r="C37" s="1">
        <v>400</v>
      </c>
      <c r="D37" s="2">
        <v>0.1</v>
      </c>
      <c r="E37" s="1">
        <v>5</v>
      </c>
      <c r="F37" s="2">
        <v>0</v>
      </c>
      <c r="G37" s="2">
        <v>190.63</v>
      </c>
      <c r="H37" s="2">
        <v>21.79</v>
      </c>
      <c r="J37" s="4">
        <f t="shared" ref="J37:J52" si="12">H37/SQRT(C37)</f>
        <v>1.0894999999999999</v>
      </c>
      <c r="K37" s="5">
        <f t="shared" ref="K37:K52" si="13">-10*LOG10(G37/(B37*3))</f>
        <v>4.9796000251150163</v>
      </c>
      <c r="L37" s="5">
        <f t="shared" ref="L37:L52" si="14">-10*LOG10((G37+1.96*J37)/(B37*3))</f>
        <v>4.9312212149176506</v>
      </c>
      <c r="M37" s="5">
        <f t="shared" ref="M37:M52" si="15">-10*LOG10((G37-1.96*J37)/(B37*3))</f>
        <v>5.0285238342768581</v>
      </c>
      <c r="N37" s="5">
        <f t="shared" ref="N37:N52" si="16">K37-L37</f>
        <v>4.8378810197365674E-2</v>
      </c>
      <c r="O37" s="5">
        <f t="shared" ref="O37:O52" si="17">M37-K37</f>
        <v>4.8923809161841803E-2</v>
      </c>
    </row>
    <row r="38" spans="1:15" ht="15.6" customHeight="1" x14ac:dyDescent="0.3">
      <c r="A38" s="1">
        <v>3</v>
      </c>
      <c r="B38" s="1">
        <v>200</v>
      </c>
      <c r="C38" s="1">
        <v>400</v>
      </c>
      <c r="D38" s="2">
        <v>0.1</v>
      </c>
      <c r="E38" s="1">
        <v>6</v>
      </c>
      <c r="F38" s="2">
        <v>0</v>
      </c>
      <c r="G38" s="2">
        <v>148.56</v>
      </c>
      <c r="H38" s="2">
        <v>20.49</v>
      </c>
      <c r="J38" s="4">
        <f t="shared" si="12"/>
        <v>1.0245</v>
      </c>
      <c r="K38" s="5">
        <f t="shared" si="13"/>
        <v>6.0624935965191966</v>
      </c>
      <c r="L38" s="5">
        <f t="shared" si="14"/>
        <v>6.0041851100489101</v>
      </c>
      <c r="M38" s="5">
        <f t="shared" si="15"/>
        <v>6.1215956000587815</v>
      </c>
      <c r="N38" s="5">
        <f t="shared" si="16"/>
        <v>5.8308486470286525E-2</v>
      </c>
      <c r="O38" s="5">
        <f t="shared" si="17"/>
        <v>5.9102003539584835E-2</v>
      </c>
    </row>
    <row r="39" spans="1:15" ht="15.6" customHeight="1" x14ac:dyDescent="0.3">
      <c r="A39" s="1">
        <v>3</v>
      </c>
      <c r="B39" s="1">
        <v>200</v>
      </c>
      <c r="C39" s="1">
        <v>400</v>
      </c>
      <c r="D39" s="2">
        <v>0.1</v>
      </c>
      <c r="E39" s="1">
        <v>7</v>
      </c>
      <c r="F39" s="2">
        <v>0</v>
      </c>
      <c r="G39" s="2">
        <v>120.17</v>
      </c>
      <c r="H39" s="2">
        <v>18.059999999999999</v>
      </c>
      <c r="J39" s="4">
        <f t="shared" si="12"/>
        <v>0.90299999999999991</v>
      </c>
      <c r="K39" s="5">
        <f t="shared" si="13"/>
        <v>6.9835518921128372</v>
      </c>
      <c r="L39" s="5">
        <f t="shared" si="14"/>
        <v>6.9200548708304233</v>
      </c>
      <c r="M39" s="5">
        <f t="shared" si="15"/>
        <v>7.0479910783363939</v>
      </c>
      <c r="N39" s="5">
        <f t="shared" si="16"/>
        <v>6.3497021282413968E-2</v>
      </c>
      <c r="O39" s="5">
        <f t="shared" si="17"/>
        <v>6.443918622355671E-2</v>
      </c>
    </row>
    <row r="40" spans="1:15" ht="15.6" customHeight="1" x14ac:dyDescent="0.3">
      <c r="A40" s="1">
        <v>3</v>
      </c>
      <c r="B40" s="1">
        <v>200</v>
      </c>
      <c r="C40" s="1">
        <v>400</v>
      </c>
      <c r="D40" s="2">
        <v>0.1</v>
      </c>
      <c r="E40" s="1">
        <v>8</v>
      </c>
      <c r="F40" s="2">
        <v>0</v>
      </c>
      <c r="G40" s="2">
        <v>108.41</v>
      </c>
      <c r="H40" s="2">
        <v>18.77</v>
      </c>
      <c r="J40" s="4">
        <f t="shared" si="12"/>
        <v>0.9385</v>
      </c>
      <c r="K40" s="5">
        <f t="shared" si="13"/>
        <v>7.4308190596253922</v>
      </c>
      <c r="L40" s="5">
        <f t="shared" si="14"/>
        <v>7.3577477940562295</v>
      </c>
      <c r="M40" s="5">
        <f t="shared" si="15"/>
        <v>7.5051408400155752</v>
      </c>
      <c r="N40" s="5">
        <f t="shared" si="16"/>
        <v>7.3071265569162769E-2</v>
      </c>
      <c r="O40" s="5">
        <f t="shared" si="17"/>
        <v>7.4321780390183001E-2</v>
      </c>
    </row>
    <row r="41" spans="1:15" ht="15.6" customHeight="1" x14ac:dyDescent="0.3">
      <c r="A41" s="1">
        <v>3</v>
      </c>
      <c r="B41" s="1">
        <v>200</v>
      </c>
      <c r="C41" s="1">
        <v>400</v>
      </c>
      <c r="D41" s="2">
        <v>0.1</v>
      </c>
      <c r="E41" s="1">
        <v>9</v>
      </c>
      <c r="F41" s="2">
        <v>0</v>
      </c>
      <c r="G41" s="2">
        <v>93.81</v>
      </c>
      <c r="H41" s="2">
        <v>18.72</v>
      </c>
      <c r="J41" s="4">
        <f t="shared" si="12"/>
        <v>0.93599999999999994</v>
      </c>
      <c r="K41" s="5">
        <f t="shared" si="13"/>
        <v>8.0590211442104795</v>
      </c>
      <c r="L41" s="5">
        <f t="shared" si="14"/>
        <v>7.9749097679574241</v>
      </c>
      <c r="M41" s="5">
        <f t="shared" si="15"/>
        <v>8.1447937626031077</v>
      </c>
      <c r="N41" s="5">
        <f t="shared" si="16"/>
        <v>8.4111376253055425E-2</v>
      </c>
      <c r="O41" s="5">
        <f t="shared" si="17"/>
        <v>8.5772618392628175E-2</v>
      </c>
    </row>
    <row r="42" spans="1:15" ht="15.6" customHeight="1" x14ac:dyDescent="0.3">
      <c r="A42" s="1">
        <v>3</v>
      </c>
      <c r="B42" s="1">
        <v>200</v>
      </c>
      <c r="C42" s="1">
        <v>400</v>
      </c>
      <c r="D42" s="2">
        <v>0.1</v>
      </c>
      <c r="E42" s="1">
        <v>10</v>
      </c>
      <c r="F42" s="2">
        <v>0</v>
      </c>
      <c r="G42" s="2">
        <v>86.48</v>
      </c>
      <c r="H42" s="2">
        <v>18.29</v>
      </c>
      <c r="J42" s="4">
        <f t="shared" si="12"/>
        <v>0.91449999999999998</v>
      </c>
      <c r="K42" s="5">
        <f t="shared" si="13"/>
        <v>8.4123556943838977</v>
      </c>
      <c r="L42" s="5">
        <f t="shared" si="14"/>
        <v>8.323262173927759</v>
      </c>
      <c r="M42" s="5">
        <f t="shared" si="15"/>
        <v>8.5033152757329571</v>
      </c>
      <c r="N42" s="5">
        <f t="shared" si="16"/>
        <v>8.909352045613872E-2</v>
      </c>
      <c r="O42" s="5">
        <f t="shared" si="17"/>
        <v>9.0959581349059349E-2</v>
      </c>
    </row>
    <row r="43" spans="1:15" ht="15.6" customHeight="1" x14ac:dyDescent="0.3">
      <c r="A43" s="1">
        <v>3</v>
      </c>
      <c r="B43" s="1">
        <v>200</v>
      </c>
      <c r="C43" s="1">
        <v>400</v>
      </c>
      <c r="D43" s="2">
        <v>0.1</v>
      </c>
      <c r="E43" s="1">
        <v>11</v>
      </c>
      <c r="F43" s="2">
        <v>0</v>
      </c>
      <c r="G43" s="2">
        <v>81.260000000000005</v>
      </c>
      <c r="H43" s="2">
        <v>17.809999999999999</v>
      </c>
      <c r="J43" s="4">
        <f t="shared" si="12"/>
        <v>0.89049999999999996</v>
      </c>
      <c r="K43" s="5">
        <f t="shared" si="13"/>
        <v>8.6827443239325071</v>
      </c>
      <c r="L43" s="5">
        <f t="shared" si="14"/>
        <v>8.5904500826551367</v>
      </c>
      <c r="M43" s="5">
        <f t="shared" si="15"/>
        <v>8.7770426258789023</v>
      </c>
      <c r="N43" s="5">
        <f t="shared" si="16"/>
        <v>9.2294241277370404E-2</v>
      </c>
      <c r="O43" s="5">
        <f t="shared" si="17"/>
        <v>9.4298301946395213E-2</v>
      </c>
    </row>
    <row r="44" spans="1:15" ht="15.6" customHeight="1" x14ac:dyDescent="0.3">
      <c r="A44" s="1">
        <v>3</v>
      </c>
      <c r="B44" s="1">
        <v>200</v>
      </c>
      <c r="C44" s="1">
        <v>400</v>
      </c>
      <c r="D44" s="2">
        <v>0.1</v>
      </c>
      <c r="E44" s="1">
        <v>12</v>
      </c>
      <c r="F44" s="2">
        <v>0</v>
      </c>
      <c r="G44" s="2">
        <v>75.040000000000006</v>
      </c>
      <c r="H44" s="2">
        <v>16.28</v>
      </c>
      <c r="J44" s="4">
        <f t="shared" si="12"/>
        <v>0.81400000000000006</v>
      </c>
      <c r="K44" s="5">
        <f t="shared" si="13"/>
        <v>9.0285842501263538</v>
      </c>
      <c r="L44" s="5">
        <f t="shared" si="14"/>
        <v>8.9372159515025338</v>
      </c>
      <c r="M44" s="5">
        <f t="shared" si="15"/>
        <v>9.1219161703036029</v>
      </c>
      <c r="N44" s="5">
        <f t="shared" si="16"/>
        <v>9.136829862382001E-2</v>
      </c>
      <c r="O44" s="5">
        <f t="shared" si="17"/>
        <v>9.3331920177249117E-2</v>
      </c>
    </row>
    <row r="45" spans="1:15" ht="15.6" customHeight="1" x14ac:dyDescent="0.3">
      <c r="A45" s="1">
        <v>3</v>
      </c>
      <c r="B45" s="1">
        <v>200</v>
      </c>
      <c r="C45" s="1">
        <v>400</v>
      </c>
      <c r="D45" s="2">
        <v>0.1</v>
      </c>
      <c r="E45" s="1">
        <v>13</v>
      </c>
      <c r="F45" s="2">
        <v>0</v>
      </c>
      <c r="G45" s="2">
        <v>71.05</v>
      </c>
      <c r="H45" s="2">
        <v>16.57</v>
      </c>
      <c r="J45" s="4">
        <f t="shared" si="12"/>
        <v>0.82850000000000001</v>
      </c>
      <c r="K45" s="5">
        <f t="shared" si="13"/>
        <v>9.2658716812015509</v>
      </c>
      <c r="L45" s="5">
        <f t="shared" si="14"/>
        <v>9.1677302245707111</v>
      </c>
      <c r="M45" s="5">
        <f t="shared" si="15"/>
        <v>9.3662823064489853</v>
      </c>
      <c r="N45" s="5">
        <f t="shared" si="16"/>
        <v>9.8141456630839841E-2</v>
      </c>
      <c r="O45" s="5">
        <f t="shared" si="17"/>
        <v>0.10041062524743438</v>
      </c>
    </row>
    <row r="46" spans="1:15" ht="15.6" customHeight="1" x14ac:dyDescent="0.3">
      <c r="A46" s="1">
        <v>3</v>
      </c>
      <c r="B46" s="1">
        <v>200</v>
      </c>
      <c r="C46" s="1">
        <v>400</v>
      </c>
      <c r="D46" s="2">
        <v>0.1</v>
      </c>
      <c r="E46" s="1">
        <v>14</v>
      </c>
      <c r="F46" s="2">
        <v>0</v>
      </c>
      <c r="G46" s="2">
        <v>68.52</v>
      </c>
      <c r="H46" s="2">
        <v>15.66</v>
      </c>
      <c r="J46" s="4">
        <f t="shared" si="12"/>
        <v>0.78300000000000003</v>
      </c>
      <c r="K46" s="5">
        <f t="shared" si="13"/>
        <v>9.4233389609017078</v>
      </c>
      <c r="L46" s="5">
        <f t="shared" si="14"/>
        <v>9.3271409676779875</v>
      </c>
      <c r="M46" s="5">
        <f t="shared" si="15"/>
        <v>9.5217161397446546</v>
      </c>
      <c r="N46" s="5">
        <f t="shared" si="16"/>
        <v>9.6197993223720246E-2</v>
      </c>
      <c r="O46" s="5">
        <f t="shared" si="17"/>
        <v>9.8377178842946833E-2</v>
      </c>
    </row>
    <row r="47" spans="1:15" ht="15.6" customHeight="1" x14ac:dyDescent="0.3">
      <c r="A47" s="1">
        <v>3</v>
      </c>
      <c r="B47" s="1">
        <v>200</v>
      </c>
      <c r="C47" s="1">
        <v>400</v>
      </c>
      <c r="D47" s="2">
        <v>0.1</v>
      </c>
      <c r="E47" s="1">
        <v>15</v>
      </c>
      <c r="F47" s="2">
        <v>0</v>
      </c>
      <c r="G47" s="2">
        <v>66.349999999999994</v>
      </c>
      <c r="H47" s="2">
        <v>14.53</v>
      </c>
      <c r="J47" s="4">
        <f t="shared" si="12"/>
        <v>0.72649999999999992</v>
      </c>
      <c r="K47" s="5">
        <f t="shared" si="13"/>
        <v>9.5631032318318923</v>
      </c>
      <c r="L47" s="5">
        <f t="shared" si="14"/>
        <v>9.4708851654352628</v>
      </c>
      <c r="M47" s="5">
        <f t="shared" si="15"/>
        <v>9.6573220161803093</v>
      </c>
      <c r="N47" s="5">
        <f t="shared" si="16"/>
        <v>9.2218066396629439E-2</v>
      </c>
      <c r="O47" s="5">
        <f t="shared" si="17"/>
        <v>9.4218784348417017E-2</v>
      </c>
    </row>
    <row r="48" spans="1:15" ht="15.6" customHeight="1" x14ac:dyDescent="0.3">
      <c r="A48" s="1">
        <v>3</v>
      </c>
      <c r="B48" s="1">
        <v>200</v>
      </c>
      <c r="C48" s="1">
        <v>400</v>
      </c>
      <c r="D48" s="2">
        <v>0.1</v>
      </c>
      <c r="E48" s="1">
        <v>16</v>
      </c>
      <c r="F48" s="2">
        <v>0</v>
      </c>
      <c r="G48" s="2">
        <v>61.86</v>
      </c>
      <c r="H48" s="2">
        <v>13.41</v>
      </c>
      <c r="J48" s="4">
        <f t="shared" si="12"/>
        <v>0.67049999999999998</v>
      </c>
      <c r="K48" s="5">
        <f t="shared" si="13"/>
        <v>9.8674133471648346</v>
      </c>
      <c r="L48" s="5">
        <f t="shared" si="14"/>
        <v>9.7761163689159432</v>
      </c>
      <c r="M48" s="5">
        <f t="shared" si="15"/>
        <v>9.9606708496233605</v>
      </c>
      <c r="N48" s="5">
        <f t="shared" si="16"/>
        <v>9.1296978248891492E-2</v>
      </c>
      <c r="O48" s="5">
        <f t="shared" si="17"/>
        <v>9.3257502458525821E-2</v>
      </c>
    </row>
    <row r="49" spans="1:15" ht="15.6" customHeight="1" x14ac:dyDescent="0.3">
      <c r="A49" s="1">
        <v>3</v>
      </c>
      <c r="B49" s="1">
        <v>200</v>
      </c>
      <c r="C49" s="1">
        <v>400</v>
      </c>
      <c r="D49" s="2">
        <v>0.1</v>
      </c>
      <c r="E49" s="1">
        <v>17</v>
      </c>
      <c r="F49" s="2">
        <v>0</v>
      </c>
      <c r="G49" s="2">
        <v>60.07</v>
      </c>
      <c r="H49" s="2">
        <v>14.57</v>
      </c>
      <c r="J49" s="4">
        <f t="shared" si="12"/>
        <v>0.72850000000000004</v>
      </c>
      <c r="K49" s="5">
        <f t="shared" si="13"/>
        <v>9.9949361843628832</v>
      </c>
      <c r="L49" s="5">
        <f t="shared" si="14"/>
        <v>9.8929124690678822</v>
      </c>
      <c r="M49" s="5">
        <f t="shared" si="15"/>
        <v>10.099414399573734</v>
      </c>
      <c r="N49" s="5">
        <f t="shared" si="16"/>
        <v>0.10202371529500098</v>
      </c>
      <c r="O49" s="5">
        <f t="shared" si="17"/>
        <v>0.10447821521085032</v>
      </c>
    </row>
    <row r="50" spans="1:15" ht="15.6" customHeight="1" x14ac:dyDescent="0.3">
      <c r="A50" s="1">
        <v>3</v>
      </c>
      <c r="B50" s="1">
        <v>200</v>
      </c>
      <c r="C50" s="1">
        <v>400</v>
      </c>
      <c r="D50" s="2">
        <v>0.1</v>
      </c>
      <c r="E50" s="1">
        <v>18</v>
      </c>
      <c r="F50" s="2">
        <v>0</v>
      </c>
      <c r="G50" s="2">
        <v>56.45</v>
      </c>
      <c r="H50" s="2">
        <v>13.64</v>
      </c>
      <c r="J50" s="4">
        <f t="shared" si="12"/>
        <v>0.68200000000000005</v>
      </c>
      <c r="K50" s="5">
        <f t="shared" si="13"/>
        <v>10.26487304122657</v>
      </c>
      <c r="L50" s="5">
        <f t="shared" si="14"/>
        <v>10.163232059661809</v>
      </c>
      <c r="M50" s="5">
        <f t="shared" si="15"/>
        <v>10.368949920797927</v>
      </c>
      <c r="N50" s="5">
        <f t="shared" si="16"/>
        <v>0.10164098156476165</v>
      </c>
      <c r="O50" s="5">
        <f t="shared" si="17"/>
        <v>0.10407687957135714</v>
      </c>
    </row>
    <row r="51" spans="1:15" ht="15.6" customHeight="1" x14ac:dyDescent="0.3">
      <c r="A51" s="1">
        <v>3</v>
      </c>
      <c r="B51" s="1">
        <v>200</v>
      </c>
      <c r="C51" s="1">
        <v>400</v>
      </c>
      <c r="D51" s="2">
        <v>0.1</v>
      </c>
      <c r="E51" s="1">
        <v>19</v>
      </c>
      <c r="F51" s="2">
        <v>0</v>
      </c>
      <c r="G51" s="2">
        <v>56.85</v>
      </c>
      <c r="H51" s="2">
        <v>13.21</v>
      </c>
      <c r="J51" s="4">
        <f t="shared" si="12"/>
        <v>0.66050000000000009</v>
      </c>
      <c r="K51" s="5">
        <f t="shared" si="13"/>
        <v>10.234207813598902</v>
      </c>
      <c r="L51" s="5">
        <f t="shared" si="14"/>
        <v>10.13642012588271</v>
      </c>
      <c r="M51" s="5">
        <f t="shared" si="15"/>
        <v>10.334248151667785</v>
      </c>
      <c r="N51" s="5">
        <f t="shared" si="16"/>
        <v>9.778768771619184E-2</v>
      </c>
      <c r="O51" s="5">
        <f t="shared" si="17"/>
        <v>0.10004033806888302</v>
      </c>
    </row>
    <row r="52" spans="1:15" ht="15.6" customHeight="1" x14ac:dyDescent="0.3">
      <c r="A52" s="1">
        <v>3</v>
      </c>
      <c r="B52" s="1">
        <v>200</v>
      </c>
      <c r="C52" s="1">
        <v>400</v>
      </c>
      <c r="D52" s="2">
        <v>0.1</v>
      </c>
      <c r="E52" s="1">
        <v>20</v>
      </c>
      <c r="F52" s="2">
        <v>0</v>
      </c>
      <c r="G52" s="2">
        <v>54.75</v>
      </c>
      <c r="H52" s="2">
        <v>12.56</v>
      </c>
      <c r="J52" s="4">
        <f t="shared" si="12"/>
        <v>0.628</v>
      </c>
      <c r="K52" s="5">
        <f t="shared" si="13"/>
        <v>10.397671268714877</v>
      </c>
      <c r="L52" s="5">
        <f t="shared" si="14"/>
        <v>10.301115292413494</v>
      </c>
      <c r="M52" s="5">
        <f t="shared" si="15"/>
        <v>10.496422865485048</v>
      </c>
      <c r="N52" s="5">
        <f t="shared" si="16"/>
        <v>9.655597630138324E-2</v>
      </c>
      <c r="O52" s="5">
        <f t="shared" si="17"/>
        <v>9.8751596770171091E-2</v>
      </c>
    </row>
    <row r="53" spans="1:15" ht="15.6" customHeight="1" x14ac:dyDescent="0.3">
      <c r="A53" s="13" t="s">
        <v>17</v>
      </c>
      <c r="B53" s="7"/>
      <c r="C53" s="7"/>
      <c r="D53" s="8"/>
      <c r="E53" s="7"/>
      <c r="F53" s="8"/>
      <c r="G53" s="8"/>
      <c r="H53" s="8"/>
      <c r="I53" s="8"/>
      <c r="J53" s="9"/>
      <c r="K53" s="10"/>
      <c r="L53" s="10"/>
      <c r="M53" s="10"/>
      <c r="N53" s="10"/>
      <c r="O53" s="10"/>
    </row>
    <row r="54" spans="1:15" ht="15.6" customHeight="1" x14ac:dyDescent="0.3">
      <c r="A54" s="1">
        <v>4</v>
      </c>
      <c r="B54" s="1">
        <v>200</v>
      </c>
      <c r="C54" s="1">
        <v>400</v>
      </c>
      <c r="D54" s="2">
        <v>0.1</v>
      </c>
      <c r="E54" s="1">
        <v>5</v>
      </c>
      <c r="F54" s="2">
        <v>0</v>
      </c>
      <c r="G54" s="2">
        <v>154.19</v>
      </c>
      <c r="H54" s="2">
        <v>20.48</v>
      </c>
      <c r="J54" s="4">
        <f t="shared" ref="J54:J69" si="18">H54/SQRT(C54)</f>
        <v>1.024</v>
      </c>
      <c r="K54" s="5">
        <f t="shared" ref="K54:K69" si="19">-10*LOG10(G54/(B54*3))</f>
        <v>5.9009504194527445</v>
      </c>
      <c r="L54" s="5">
        <f t="shared" ref="L54:L69" si="20">-10*LOG10((G54+1.96*J54)/(B54*3))</f>
        <v>5.8447845082857768</v>
      </c>
      <c r="M54" s="5">
        <f t="shared" ref="M54:M69" si="21">-10*LOG10((G54-1.96*J54)/(B54*3))</f>
        <v>5.9578522339106152</v>
      </c>
      <c r="N54" s="5">
        <f t="shared" ref="N54:N69" si="22">K54-L54</f>
        <v>5.6165911166967675E-2</v>
      </c>
      <c r="O54" s="5">
        <f t="shared" ref="O54:O69" si="23">M54-K54</f>
        <v>5.6901814457870792E-2</v>
      </c>
    </row>
    <row r="55" spans="1:15" ht="15.6" customHeight="1" x14ac:dyDescent="0.3">
      <c r="A55" s="3">
        <v>4</v>
      </c>
      <c r="B55" s="3">
        <v>200</v>
      </c>
      <c r="C55" s="3">
        <v>400</v>
      </c>
      <c r="D55" s="4">
        <v>0.1</v>
      </c>
      <c r="E55" s="3">
        <v>6</v>
      </c>
      <c r="F55" s="4">
        <v>0</v>
      </c>
      <c r="G55" s="4">
        <v>111.44</v>
      </c>
      <c r="H55" s="4">
        <v>22.83</v>
      </c>
      <c r="I55" s="4"/>
      <c r="J55" s="4">
        <f t="shared" si="18"/>
        <v>1.1415</v>
      </c>
      <c r="K55" s="5">
        <f t="shared" si="19"/>
        <v>7.3111014696773662</v>
      </c>
      <c r="L55" s="5">
        <f t="shared" si="20"/>
        <v>7.2247734764612348</v>
      </c>
      <c r="M55" s="5">
        <f t="shared" si="21"/>
        <v>7.3991803317562068</v>
      </c>
      <c r="N55" s="5">
        <f t="shared" si="22"/>
        <v>8.6327993216131382E-2</v>
      </c>
      <c r="O55" s="5">
        <f t="shared" si="23"/>
        <v>8.8078862078840636E-2</v>
      </c>
    </row>
    <row r="56" spans="1:15" ht="15.6" customHeight="1" x14ac:dyDescent="0.3">
      <c r="A56" s="3">
        <v>4</v>
      </c>
      <c r="B56" s="3">
        <v>200</v>
      </c>
      <c r="C56" s="3">
        <v>400</v>
      </c>
      <c r="D56" s="4">
        <v>0.1</v>
      </c>
      <c r="E56" s="3">
        <v>7</v>
      </c>
      <c r="F56" s="4">
        <v>0</v>
      </c>
      <c r="G56" s="4">
        <v>92.38</v>
      </c>
      <c r="H56" s="4">
        <v>23.53</v>
      </c>
      <c r="I56" s="4"/>
      <c r="J56" s="4">
        <f t="shared" si="18"/>
        <v>1.1765000000000001</v>
      </c>
      <c r="K56" s="5">
        <f t="shared" si="19"/>
        <v>8.1257329247311567</v>
      </c>
      <c r="L56" s="5">
        <f t="shared" si="20"/>
        <v>8.0186575536927425</v>
      </c>
      <c r="M56" s="5">
        <f t="shared" si="21"/>
        <v>8.2355151180045176</v>
      </c>
      <c r="N56" s="5">
        <f t="shared" si="22"/>
        <v>0.10707537103841425</v>
      </c>
      <c r="O56" s="5">
        <f t="shared" si="23"/>
        <v>0.10978219327336092</v>
      </c>
    </row>
    <row r="57" spans="1:15" ht="15.6" customHeight="1" x14ac:dyDescent="0.3">
      <c r="A57" s="3">
        <v>4</v>
      </c>
      <c r="B57" s="3">
        <v>200</v>
      </c>
      <c r="C57" s="3">
        <v>400</v>
      </c>
      <c r="D57" s="4">
        <v>0.1</v>
      </c>
      <c r="E57" s="3">
        <v>8</v>
      </c>
      <c r="F57" s="4">
        <v>0</v>
      </c>
      <c r="G57" s="4">
        <v>78.989999999999995</v>
      </c>
      <c r="H57" s="4">
        <v>25.64</v>
      </c>
      <c r="I57" s="4"/>
      <c r="J57" s="4">
        <f t="shared" si="18"/>
        <v>1.282</v>
      </c>
      <c r="K57" s="5">
        <f t="shared" si="19"/>
        <v>8.8057913655791307</v>
      </c>
      <c r="L57" s="5">
        <f t="shared" si="20"/>
        <v>8.6697914764024322</v>
      </c>
      <c r="M57" s="5">
        <f t="shared" si="21"/>
        <v>8.9461881700991643</v>
      </c>
      <c r="N57" s="5">
        <f t="shared" si="22"/>
        <v>0.13599988917669847</v>
      </c>
      <c r="O57" s="5">
        <f t="shared" si="23"/>
        <v>0.14039680452003367</v>
      </c>
    </row>
    <row r="58" spans="1:15" ht="15.6" customHeight="1" x14ac:dyDescent="0.3">
      <c r="A58" s="3">
        <v>4</v>
      </c>
      <c r="B58" s="3">
        <v>200</v>
      </c>
      <c r="C58" s="3">
        <v>400</v>
      </c>
      <c r="D58" s="4">
        <v>0.1</v>
      </c>
      <c r="E58" s="3">
        <v>9</v>
      </c>
      <c r="F58" s="4">
        <v>0</v>
      </c>
      <c r="G58" s="4">
        <v>70.3</v>
      </c>
      <c r="H58" s="4">
        <v>18.82</v>
      </c>
      <c r="I58" s="4"/>
      <c r="J58" s="4">
        <f t="shared" si="18"/>
        <v>0.94100000000000006</v>
      </c>
      <c r="K58" s="5">
        <f t="shared" si="19"/>
        <v>9.3119592536381965</v>
      </c>
      <c r="L58" s="5">
        <f t="shared" si="20"/>
        <v>9.1994886528842201</v>
      </c>
      <c r="M58" s="5">
        <f t="shared" si="21"/>
        <v>9.4274201529899138</v>
      </c>
      <c r="N58" s="5">
        <f t="shared" si="22"/>
        <v>0.11247060075397641</v>
      </c>
      <c r="O58" s="5">
        <f t="shared" si="23"/>
        <v>0.11546089935171722</v>
      </c>
    </row>
    <row r="59" spans="1:15" ht="15.6" customHeight="1" x14ac:dyDescent="0.3">
      <c r="A59" s="3">
        <v>4</v>
      </c>
      <c r="B59" s="3">
        <v>200</v>
      </c>
      <c r="C59" s="3">
        <v>400</v>
      </c>
      <c r="D59" s="4">
        <v>0.1</v>
      </c>
      <c r="E59" s="3">
        <v>10</v>
      </c>
      <c r="F59" s="4">
        <v>0</v>
      </c>
      <c r="G59" s="4">
        <v>65.12</v>
      </c>
      <c r="H59" s="4">
        <v>19.91</v>
      </c>
      <c r="I59" s="4"/>
      <c r="J59" s="4">
        <f t="shared" si="18"/>
        <v>0.99550000000000005</v>
      </c>
      <c r="K59" s="5">
        <f t="shared" si="19"/>
        <v>9.6443685850249885</v>
      </c>
      <c r="L59" s="5">
        <f t="shared" si="20"/>
        <v>9.5161530332462867</v>
      </c>
      <c r="M59" s="5">
        <f t="shared" si="21"/>
        <v>9.7764848607871819</v>
      </c>
      <c r="N59" s="5">
        <f t="shared" si="22"/>
        <v>0.12821555177870181</v>
      </c>
      <c r="O59" s="5">
        <f t="shared" si="23"/>
        <v>0.13211627576219342</v>
      </c>
    </row>
    <row r="60" spans="1:15" ht="15.6" customHeight="1" x14ac:dyDescent="0.3">
      <c r="A60" s="3">
        <v>4</v>
      </c>
      <c r="B60" s="3">
        <v>200</v>
      </c>
      <c r="C60" s="3">
        <v>400</v>
      </c>
      <c r="D60" s="4">
        <v>0.1</v>
      </c>
      <c r="E60" s="3">
        <v>11</v>
      </c>
      <c r="F60" s="4">
        <v>0</v>
      </c>
      <c r="G60" s="4">
        <v>65.94</v>
      </c>
      <c r="H60" s="4">
        <v>33.090000000000003</v>
      </c>
      <c r="I60" s="4"/>
      <c r="J60" s="4">
        <f t="shared" si="18"/>
        <v>1.6545000000000001</v>
      </c>
      <c r="K60" s="5">
        <f t="shared" si="19"/>
        <v>9.5900230757650942</v>
      </c>
      <c r="L60" s="5">
        <f t="shared" si="20"/>
        <v>9.3815298982183659</v>
      </c>
      <c r="M60" s="5">
        <f t="shared" si="21"/>
        <v>9.8090324285406165</v>
      </c>
      <c r="N60" s="5">
        <f t="shared" si="22"/>
        <v>0.20849317754672825</v>
      </c>
      <c r="O60" s="5">
        <f t="shared" si="23"/>
        <v>0.21900935277552236</v>
      </c>
    </row>
    <row r="61" spans="1:15" ht="15.6" customHeight="1" x14ac:dyDescent="0.3">
      <c r="A61" s="3">
        <v>4</v>
      </c>
      <c r="B61" s="3">
        <v>200</v>
      </c>
      <c r="C61" s="3">
        <v>400</v>
      </c>
      <c r="D61" s="4">
        <v>0.1</v>
      </c>
      <c r="E61" s="3">
        <v>12</v>
      </c>
      <c r="F61" s="4">
        <v>0</v>
      </c>
      <c r="G61" s="4">
        <v>60.41</v>
      </c>
      <c r="H61" s="4">
        <v>17.54</v>
      </c>
      <c r="I61" s="4"/>
      <c r="J61" s="4">
        <f t="shared" si="18"/>
        <v>0.877</v>
      </c>
      <c r="K61" s="5">
        <f t="shared" si="19"/>
        <v>9.970424146541772</v>
      </c>
      <c r="L61" s="5">
        <f t="shared" si="20"/>
        <v>9.8485744613664998</v>
      </c>
      <c r="M61" s="5">
        <f t="shared" si="21"/>
        <v>10.095791491555541</v>
      </c>
      <c r="N61" s="5">
        <f t="shared" si="22"/>
        <v>0.12184968517527217</v>
      </c>
      <c r="O61" s="5">
        <f t="shared" si="23"/>
        <v>0.12536734501376934</v>
      </c>
    </row>
    <row r="62" spans="1:15" ht="15.6" customHeight="1" x14ac:dyDescent="0.3">
      <c r="A62" s="3">
        <v>4</v>
      </c>
      <c r="B62" s="3">
        <v>200</v>
      </c>
      <c r="C62" s="3">
        <v>400</v>
      </c>
      <c r="D62" s="4">
        <v>0.1</v>
      </c>
      <c r="E62" s="3">
        <v>13</v>
      </c>
      <c r="F62" s="4">
        <v>0</v>
      </c>
      <c r="G62" s="4">
        <v>61.89</v>
      </c>
      <c r="H62" s="4">
        <v>33.840000000000003</v>
      </c>
      <c r="I62" s="4"/>
      <c r="J62" s="4">
        <f t="shared" si="18"/>
        <v>1.6920000000000002</v>
      </c>
      <c r="K62" s="5">
        <f t="shared" si="19"/>
        <v>9.8653076769082961</v>
      </c>
      <c r="L62" s="5">
        <f t="shared" si="20"/>
        <v>9.6386155943536007</v>
      </c>
      <c r="M62" s="5">
        <f t="shared" si="21"/>
        <v>10.104487401428221</v>
      </c>
      <c r="N62" s="5">
        <f t="shared" si="22"/>
        <v>0.22669208255469542</v>
      </c>
      <c r="O62" s="5">
        <f t="shared" si="23"/>
        <v>0.23917972451992497</v>
      </c>
    </row>
    <row r="63" spans="1:15" ht="15.6" customHeight="1" x14ac:dyDescent="0.3">
      <c r="A63" s="3">
        <v>4</v>
      </c>
      <c r="B63" s="3">
        <v>200</v>
      </c>
      <c r="C63" s="3">
        <v>400</v>
      </c>
      <c r="D63" s="4">
        <v>0.1</v>
      </c>
      <c r="E63" s="3">
        <v>14</v>
      </c>
      <c r="F63" s="4">
        <v>0</v>
      </c>
      <c r="G63" s="4">
        <v>59.08</v>
      </c>
      <c r="H63" s="4">
        <v>28.83</v>
      </c>
      <c r="I63" s="4"/>
      <c r="J63" s="4">
        <f t="shared" si="18"/>
        <v>1.4415</v>
      </c>
      <c r="K63" s="5">
        <f t="shared" si="19"/>
        <v>10.067107637437317</v>
      </c>
      <c r="L63" s="5">
        <f t="shared" si="20"/>
        <v>9.8642313718734709</v>
      </c>
      <c r="M63" s="5">
        <f t="shared" si="21"/>
        <v>10.279927462054079</v>
      </c>
      <c r="N63" s="5">
        <f t="shared" si="22"/>
        <v>0.2028762655638463</v>
      </c>
      <c r="O63" s="5">
        <f t="shared" si="23"/>
        <v>0.21281982461676208</v>
      </c>
    </row>
    <row r="64" spans="1:15" ht="15.6" customHeight="1" x14ac:dyDescent="0.3">
      <c r="A64" s="3">
        <v>4</v>
      </c>
      <c r="B64" s="3">
        <v>200</v>
      </c>
      <c r="C64" s="3">
        <v>400</v>
      </c>
      <c r="D64" s="4">
        <v>0.1</v>
      </c>
      <c r="E64" s="3">
        <v>15</v>
      </c>
      <c r="F64" s="4">
        <v>0</v>
      </c>
      <c r="G64" s="4">
        <v>56.98</v>
      </c>
      <c r="H64" s="4">
        <v>21.85</v>
      </c>
      <c r="I64" s="4"/>
      <c r="J64" s="4">
        <f t="shared" si="18"/>
        <v>1.0925</v>
      </c>
      <c r="K64" s="5">
        <f t="shared" si="19"/>
        <v>10.224288054801855</v>
      </c>
      <c r="L64" s="5">
        <f t="shared" si="20"/>
        <v>10.064072753246956</v>
      </c>
      <c r="M64" s="5">
        <f t="shared" si="21"/>
        <v>10.390640994798519</v>
      </c>
      <c r="N64" s="5">
        <f t="shared" si="22"/>
        <v>0.16021530155489927</v>
      </c>
      <c r="O64" s="5">
        <f t="shared" si="23"/>
        <v>0.16635293999666345</v>
      </c>
    </row>
    <row r="65" spans="1:15" ht="15.6" customHeight="1" x14ac:dyDescent="0.3">
      <c r="A65" s="3">
        <v>4</v>
      </c>
      <c r="B65" s="3">
        <v>200</v>
      </c>
      <c r="C65" s="3">
        <v>400</v>
      </c>
      <c r="D65" s="4">
        <v>0.1</v>
      </c>
      <c r="E65" s="3">
        <v>16</v>
      </c>
      <c r="F65" s="3">
        <v>0</v>
      </c>
      <c r="G65" s="4">
        <v>54.99</v>
      </c>
      <c r="H65" s="4">
        <v>27.69</v>
      </c>
      <c r="I65" s="4"/>
      <c r="J65" s="4">
        <f t="shared" si="18"/>
        <v>1.3845000000000001</v>
      </c>
      <c r="K65" s="5">
        <f t="shared" si="19"/>
        <v>10.378675307017645</v>
      </c>
      <c r="L65" s="5">
        <f t="shared" si="20"/>
        <v>10.169481911844171</v>
      </c>
      <c r="M65" s="5">
        <f t="shared" si="21"/>
        <v>10.598457441694118</v>
      </c>
      <c r="N65" s="5">
        <f t="shared" si="22"/>
        <v>0.20919339517347346</v>
      </c>
      <c r="O65" s="5">
        <f t="shared" si="23"/>
        <v>0.21978213467647301</v>
      </c>
    </row>
    <row r="66" spans="1:15" ht="15.6" customHeight="1" x14ac:dyDescent="0.3">
      <c r="A66" s="3">
        <v>4</v>
      </c>
      <c r="B66" s="3">
        <v>200</v>
      </c>
      <c r="C66" s="3">
        <v>400</v>
      </c>
      <c r="D66" s="4">
        <v>0.1</v>
      </c>
      <c r="E66" s="3">
        <v>17</v>
      </c>
      <c r="F66" s="4">
        <v>0</v>
      </c>
      <c r="G66" s="4">
        <v>54.79</v>
      </c>
      <c r="H66" s="4">
        <v>33.29</v>
      </c>
      <c r="I66" s="4"/>
      <c r="J66" s="4">
        <f t="shared" si="18"/>
        <v>1.6644999999999999</v>
      </c>
      <c r="K66" s="5">
        <f t="shared" si="19"/>
        <v>10.394499499489338</v>
      </c>
      <c r="L66" s="5">
        <f t="shared" si="20"/>
        <v>10.143309217312764</v>
      </c>
      <c r="M66" s="5">
        <f t="shared" si="21"/>
        <v>10.661115041446884</v>
      </c>
      <c r="N66" s="5">
        <f t="shared" si="22"/>
        <v>0.2511902821765748</v>
      </c>
      <c r="O66" s="5">
        <f t="shared" si="23"/>
        <v>0.26661554195754533</v>
      </c>
    </row>
    <row r="67" spans="1:15" ht="15.6" customHeight="1" x14ac:dyDescent="0.3">
      <c r="A67" s="3">
        <v>4</v>
      </c>
      <c r="B67" s="3">
        <v>200</v>
      </c>
      <c r="C67" s="3">
        <v>400</v>
      </c>
      <c r="D67" s="4">
        <v>0.1</v>
      </c>
      <c r="E67" s="3">
        <v>18</v>
      </c>
      <c r="F67" s="4">
        <v>0</v>
      </c>
      <c r="G67" s="4">
        <v>51.58</v>
      </c>
      <c r="H67" s="4">
        <v>28.8</v>
      </c>
      <c r="I67" s="4"/>
      <c r="J67" s="4">
        <f t="shared" si="18"/>
        <v>1.44</v>
      </c>
      <c r="K67" s="5">
        <f t="shared" si="19"/>
        <v>10.656699125817251</v>
      </c>
      <c r="L67" s="5">
        <f t="shared" si="20"/>
        <v>10.425331910574274</v>
      </c>
      <c r="M67" s="5">
        <f t="shared" si="21"/>
        <v>10.901089302299354</v>
      </c>
      <c r="N67" s="5">
        <f t="shared" si="22"/>
        <v>0.23136721524297776</v>
      </c>
      <c r="O67" s="5">
        <f t="shared" si="23"/>
        <v>0.24439017648210282</v>
      </c>
    </row>
    <row r="68" spans="1:15" ht="15.6" customHeight="1" x14ac:dyDescent="0.3">
      <c r="A68" s="3">
        <v>4</v>
      </c>
      <c r="B68" s="3">
        <v>200</v>
      </c>
      <c r="C68" s="3">
        <v>400</v>
      </c>
      <c r="D68" s="4">
        <v>0.1</v>
      </c>
      <c r="E68" s="3">
        <v>19</v>
      </c>
      <c r="F68" s="4">
        <v>0</v>
      </c>
      <c r="G68" s="4">
        <v>53.62</v>
      </c>
      <c r="H68" s="4">
        <v>37.770000000000003</v>
      </c>
      <c r="I68" s="4"/>
      <c r="J68" s="4">
        <f t="shared" si="18"/>
        <v>1.8885000000000001</v>
      </c>
      <c r="K68" s="5">
        <f t="shared" si="19"/>
        <v>10.488244407367828</v>
      </c>
      <c r="L68" s="5">
        <f t="shared" si="20"/>
        <v>10.198340068671905</v>
      </c>
      <c r="M68" s="5">
        <f t="shared" si="21"/>
        <v>10.798893756166482</v>
      </c>
      <c r="N68" s="5">
        <f t="shared" si="22"/>
        <v>0.2899043386959228</v>
      </c>
      <c r="O68" s="5">
        <f t="shared" si="23"/>
        <v>0.31064934879865369</v>
      </c>
    </row>
    <row r="69" spans="1:15" ht="15.6" customHeight="1" x14ac:dyDescent="0.3">
      <c r="A69" s="3">
        <v>4</v>
      </c>
      <c r="B69" s="3">
        <v>200</v>
      </c>
      <c r="C69" s="3">
        <v>400</v>
      </c>
      <c r="D69" s="4">
        <v>0.1</v>
      </c>
      <c r="E69" s="3">
        <v>20</v>
      </c>
      <c r="F69" s="4">
        <v>0</v>
      </c>
      <c r="G69" s="4">
        <v>51.18</v>
      </c>
      <c r="H69" s="4">
        <v>31.33</v>
      </c>
      <c r="I69" s="4"/>
      <c r="J69" s="4">
        <f t="shared" si="18"/>
        <v>1.5665</v>
      </c>
      <c r="K69" s="5">
        <f t="shared" si="19"/>
        <v>10.69050968832477</v>
      </c>
      <c r="L69" s="5">
        <f t="shared" si="20"/>
        <v>10.437487860260049</v>
      </c>
      <c r="M69" s="5">
        <f t="shared" si="21"/>
        <v>10.959189627108781</v>
      </c>
      <c r="N69" s="5">
        <f t="shared" si="22"/>
        <v>0.25302182806472118</v>
      </c>
      <c r="O69" s="5">
        <f t="shared" si="23"/>
        <v>0.26867993878401109</v>
      </c>
    </row>
    <row r="87" spans="10:15" ht="18.75" customHeight="1" x14ac:dyDescent="0.3">
      <c r="J87" s="4"/>
      <c r="K87" s="5"/>
      <c r="L87" s="5"/>
      <c r="M87" s="5"/>
      <c r="N87" s="5"/>
      <c r="O87" s="5"/>
    </row>
  </sheetData>
  <pageMargins left="0.7" right="0.7" top="0.75" bottom="0.75" header="0.3" footer="0.3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1EFD66-8512-437C-BEC1-8A29399736B2}">
  <sheetPr>
    <outlinePr summaryBelow="0"/>
  </sheetPr>
  <dimension ref="A1:O12"/>
  <sheetViews>
    <sheetView zoomScale="115" zoomScaleNormal="115" workbookViewId="0">
      <pane ySplit="1" topLeftCell="A2" activePane="bottomLeft" state="frozen"/>
      <selection activeCell="G30" sqref="G30"/>
      <selection pane="bottomLeft" activeCell="A3" sqref="A3"/>
    </sheetView>
  </sheetViews>
  <sheetFormatPr defaultRowHeight="14.4" x14ac:dyDescent="0.3"/>
  <cols>
    <col min="1" max="1" width="13.33203125" style="1" bestFit="1" customWidth="1"/>
    <col min="2" max="2" width="10.33203125" style="1" customWidth="1"/>
    <col min="3" max="3" width="10.77734375" style="1" customWidth="1"/>
    <col min="4" max="4" width="10.21875" style="2" customWidth="1"/>
    <col min="5" max="5" width="11.77734375" style="1" customWidth="1"/>
    <col min="6" max="6" width="9.44140625" style="2" customWidth="1"/>
    <col min="7" max="9" width="10" style="2" customWidth="1"/>
    <col min="10" max="10" width="9" style="2" customWidth="1"/>
    <col min="11" max="15" width="12.44140625" style="2" customWidth="1"/>
    <col min="16" max="16" width="12.44140625" customWidth="1"/>
  </cols>
  <sheetData>
    <row r="1" spans="1:15" s="6" customFormat="1" ht="15.6" customHeight="1" x14ac:dyDescent="0.3">
      <c r="A1" s="11" t="s">
        <v>14</v>
      </c>
      <c r="B1" s="11" t="s">
        <v>0</v>
      </c>
      <c r="C1" s="11" t="s">
        <v>1</v>
      </c>
      <c r="D1" s="12" t="s">
        <v>2</v>
      </c>
      <c r="E1" s="11" t="s">
        <v>3</v>
      </c>
      <c r="F1" s="12" t="s">
        <v>4</v>
      </c>
      <c r="G1" s="12" t="s">
        <v>5</v>
      </c>
      <c r="H1" s="12" t="s">
        <v>6</v>
      </c>
      <c r="I1" s="12"/>
      <c r="J1" s="12" t="s">
        <v>7</v>
      </c>
      <c r="K1" s="12" t="s">
        <v>8</v>
      </c>
      <c r="L1" s="12" t="s">
        <v>9</v>
      </c>
      <c r="M1" s="12" t="s">
        <v>10</v>
      </c>
      <c r="N1" s="12" t="s">
        <v>11</v>
      </c>
      <c r="O1" s="12" t="s">
        <v>12</v>
      </c>
    </row>
    <row r="2" spans="1:15" ht="15.6" customHeight="1" x14ac:dyDescent="0.3">
      <c r="A2" s="13" t="s">
        <v>18</v>
      </c>
      <c r="B2" s="7"/>
      <c r="C2" s="7"/>
      <c r="D2" s="8"/>
      <c r="E2" s="7"/>
      <c r="F2" s="8"/>
      <c r="G2" s="8"/>
      <c r="H2" s="8"/>
      <c r="I2" s="8"/>
      <c r="J2" s="9"/>
      <c r="K2" s="10"/>
      <c r="L2" s="10"/>
      <c r="M2" s="10"/>
      <c r="N2" s="10"/>
      <c r="O2" s="10"/>
    </row>
    <row r="3" spans="1:15" ht="15.6" customHeight="1" x14ac:dyDescent="0.3">
      <c r="A3" s="3">
        <v>3</v>
      </c>
      <c r="B3" s="3">
        <v>200</v>
      </c>
      <c r="C3" s="3">
        <v>1000</v>
      </c>
      <c r="D3" s="4">
        <v>0.1</v>
      </c>
      <c r="E3" s="3">
        <v>10</v>
      </c>
      <c r="F3" s="4">
        <v>0</v>
      </c>
      <c r="G3" s="4">
        <v>189.45</v>
      </c>
      <c r="H3" s="4">
        <v>21.73</v>
      </c>
      <c r="I3" s="4"/>
      <c r="J3" s="4">
        <f t="shared" ref="J3:J9" si="0">H3/SQRT(C3)</f>
        <v>0.68716293555458885</v>
      </c>
      <c r="K3" s="5">
        <f t="shared" ref="K3:K9" si="1">-10*LOG10(G3/(B3*3))</f>
        <v>5.006566407726317</v>
      </c>
      <c r="L3" s="5">
        <f t="shared" ref="L3:L9" si="2">-10*LOG10((G3+1.96*J3)/(B3*3))</f>
        <v>4.975800742641117</v>
      </c>
      <c r="M3" s="5">
        <f t="shared" ref="M3:M9" si="3">-10*LOG10((G3-1.96*J3)/(B3*3))</f>
        <v>5.0375515743974653</v>
      </c>
      <c r="N3" s="5">
        <f t="shared" ref="N3:N9" si="4">K3-L3</f>
        <v>3.0765665085199956E-2</v>
      </c>
      <c r="O3" s="5">
        <f t="shared" ref="O3:O9" si="5">M3-K3</f>
        <v>3.0985166671148257E-2</v>
      </c>
    </row>
    <row r="4" spans="1:15" ht="15.6" customHeight="1" x14ac:dyDescent="0.3">
      <c r="A4" s="3">
        <v>5</v>
      </c>
      <c r="B4" s="3">
        <v>200</v>
      </c>
      <c r="C4" s="3">
        <v>1000</v>
      </c>
      <c r="D4" s="4">
        <v>0.1</v>
      </c>
      <c r="E4" s="3">
        <v>10</v>
      </c>
      <c r="F4" s="4">
        <v>0</v>
      </c>
      <c r="G4" s="4">
        <v>186.48</v>
      </c>
      <c r="H4" s="4">
        <v>20.91</v>
      </c>
      <c r="I4" s="4"/>
      <c r="J4" s="4">
        <f t="shared" si="0"/>
        <v>0.66123225874120817</v>
      </c>
      <c r="K4" s="5">
        <f t="shared" si="1"/>
        <v>5.0751898987112343</v>
      </c>
      <c r="L4" s="5">
        <f t="shared" si="2"/>
        <v>5.0451113167468273</v>
      </c>
      <c r="M4" s="5">
        <f t="shared" si="3"/>
        <v>5.1054782541094337</v>
      </c>
      <c r="N4" s="5">
        <f t="shared" si="4"/>
        <v>3.0078581964406936E-2</v>
      </c>
      <c r="O4" s="5">
        <f t="shared" si="5"/>
        <v>3.0288355398199407E-2</v>
      </c>
    </row>
    <row r="5" spans="1:15" x14ac:dyDescent="0.3">
      <c r="A5" s="1">
        <v>6</v>
      </c>
      <c r="B5" s="1">
        <v>200</v>
      </c>
      <c r="C5" s="1">
        <v>1000</v>
      </c>
      <c r="D5" s="2">
        <v>0.1</v>
      </c>
      <c r="E5" s="1">
        <v>10</v>
      </c>
      <c r="F5" s="2">
        <v>0</v>
      </c>
      <c r="G5" s="2">
        <v>188.24</v>
      </c>
      <c r="H5" s="2">
        <v>21.7</v>
      </c>
      <c r="J5" s="4">
        <f t="shared" si="0"/>
        <v>0.68621425225653832</v>
      </c>
      <c r="K5" s="5">
        <f t="shared" si="1"/>
        <v>5.0343933621567869</v>
      </c>
      <c r="L5" s="5">
        <f t="shared" si="2"/>
        <v>5.0034732344695527</v>
      </c>
      <c r="M5" s="5">
        <f t="shared" si="3"/>
        <v>5.0655352089809043</v>
      </c>
      <c r="N5" s="5">
        <f t="shared" si="4"/>
        <v>3.0920127687234178E-2</v>
      </c>
      <c r="O5" s="5">
        <f t="shared" si="5"/>
        <v>3.1141846824117358E-2</v>
      </c>
    </row>
    <row r="6" spans="1:15" x14ac:dyDescent="0.3">
      <c r="A6" s="1">
        <v>7</v>
      </c>
      <c r="B6" s="1">
        <v>200</v>
      </c>
      <c r="C6" s="1">
        <v>1000</v>
      </c>
      <c r="D6" s="2">
        <v>0.1</v>
      </c>
      <c r="E6" s="1">
        <v>10</v>
      </c>
      <c r="F6" s="2">
        <v>0</v>
      </c>
      <c r="G6" s="2">
        <v>186.18</v>
      </c>
      <c r="H6" s="2">
        <v>22.22</v>
      </c>
      <c r="J6" s="4">
        <f t="shared" si="0"/>
        <v>0.70265809608941387</v>
      </c>
      <c r="K6" s="5">
        <f t="shared" si="1"/>
        <v>5.082182244158342</v>
      </c>
      <c r="L6" s="5">
        <f t="shared" si="2"/>
        <v>5.0501748690437056</v>
      </c>
      <c r="M6" s="5">
        <f t="shared" si="3"/>
        <v>5.1144272652099296</v>
      </c>
      <c r="N6" s="5">
        <f t="shared" si="4"/>
        <v>3.2007375114636361E-2</v>
      </c>
      <c r="O6" s="5">
        <f t="shared" si="5"/>
        <v>3.2245021051587663E-2</v>
      </c>
    </row>
    <row r="7" spans="1:15" x14ac:dyDescent="0.3">
      <c r="A7" s="1">
        <v>8</v>
      </c>
      <c r="B7" s="1">
        <v>200</v>
      </c>
      <c r="C7" s="1">
        <v>1000</v>
      </c>
      <c r="D7" s="2">
        <v>0.1</v>
      </c>
      <c r="E7" s="1">
        <v>10</v>
      </c>
      <c r="F7" s="2">
        <v>0</v>
      </c>
      <c r="G7" s="2">
        <v>182.78</v>
      </c>
      <c r="H7" s="2">
        <v>23.38</v>
      </c>
      <c r="J7" s="4">
        <f t="shared" si="0"/>
        <v>0.73934051694736702</v>
      </c>
      <c r="K7" s="5">
        <f t="shared" si="1"/>
        <v>5.1622257739300172</v>
      </c>
      <c r="L7" s="5">
        <f t="shared" si="2"/>
        <v>5.127930024258375</v>
      </c>
      <c r="M7" s="5">
        <f t="shared" si="3"/>
        <v>5.1967945104791475</v>
      </c>
      <c r="N7" s="5">
        <f t="shared" si="4"/>
        <v>3.4295749671642284E-2</v>
      </c>
      <c r="O7" s="5">
        <f t="shared" si="5"/>
        <v>3.4568736549130286E-2</v>
      </c>
    </row>
    <row r="8" spans="1:15" x14ac:dyDescent="0.3">
      <c r="A8" s="1">
        <v>9</v>
      </c>
      <c r="B8" s="1">
        <v>200</v>
      </c>
      <c r="C8" s="1">
        <v>1000</v>
      </c>
      <c r="D8" s="2">
        <v>0.1</v>
      </c>
      <c r="E8" s="1">
        <v>10</v>
      </c>
      <c r="F8" s="2">
        <v>0</v>
      </c>
      <c r="G8" s="2">
        <v>187.77</v>
      </c>
      <c r="H8" s="2">
        <v>21.31</v>
      </c>
      <c r="J8" s="4">
        <f t="shared" si="0"/>
        <v>0.67388136938188159</v>
      </c>
      <c r="K8" s="5">
        <f t="shared" si="1"/>
        <v>5.0452504411068499</v>
      </c>
      <c r="L8" s="5">
        <f t="shared" si="2"/>
        <v>5.0148083394483054</v>
      </c>
      <c r="M8" s="5">
        <f t="shared" si="3"/>
        <v>5.0759074354767355</v>
      </c>
      <c r="N8" s="5">
        <f t="shared" si="4"/>
        <v>3.0442101658544551E-2</v>
      </c>
      <c r="O8" s="5">
        <f t="shared" si="5"/>
        <v>3.065699436988556E-2</v>
      </c>
    </row>
    <row r="9" spans="1:15" x14ac:dyDescent="0.3">
      <c r="A9" s="1">
        <v>10</v>
      </c>
      <c r="B9" s="1">
        <v>200</v>
      </c>
      <c r="C9" s="1">
        <v>1000</v>
      </c>
      <c r="D9" s="2">
        <v>0.1</v>
      </c>
      <c r="E9" s="1">
        <v>10</v>
      </c>
      <c r="F9" s="2">
        <v>0</v>
      </c>
      <c r="G9" s="2">
        <v>182.84</v>
      </c>
      <c r="H9" s="2">
        <v>21.42</v>
      </c>
      <c r="J9" s="4">
        <f t="shared" si="0"/>
        <v>0.67735987480806692</v>
      </c>
      <c r="K9" s="5">
        <f t="shared" si="1"/>
        <v>5.160800377663505</v>
      </c>
      <c r="L9" s="5">
        <f t="shared" si="2"/>
        <v>5.1293796201236947</v>
      </c>
      <c r="M9" s="5">
        <f t="shared" si="3"/>
        <v>5.1924501188201786</v>
      </c>
      <c r="N9" s="5">
        <f t="shared" si="4"/>
        <v>3.1420757539810218E-2</v>
      </c>
      <c r="O9" s="5">
        <f t="shared" si="5"/>
        <v>3.1649741156673628E-2</v>
      </c>
    </row>
    <row r="12" spans="1:15" ht="18.75" customHeight="1" x14ac:dyDescent="0.3">
      <c r="J12" s="4"/>
      <c r="K12" s="5"/>
      <c r="L12" s="5"/>
      <c r="M12" s="5"/>
      <c r="N12" s="5"/>
      <c r="O12" s="5"/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2E49E6-F3A9-4365-B5E4-7225B0195329}">
  <sheetPr codeName="Sheet11">
    <outlinePr summaryBelow="0"/>
  </sheetPr>
  <dimension ref="A1:O107"/>
  <sheetViews>
    <sheetView zoomScale="115" zoomScaleNormal="115" workbookViewId="0">
      <pane ySplit="1" topLeftCell="A2" activePane="bottomLeft" state="frozen"/>
      <selection activeCell="G30" sqref="G30"/>
      <selection pane="bottomLeft" activeCell="D25" sqref="D25"/>
    </sheetView>
  </sheetViews>
  <sheetFormatPr defaultRowHeight="14.4" x14ac:dyDescent="0.3"/>
  <cols>
    <col min="1" max="1" width="13.33203125" style="1" bestFit="1" customWidth="1"/>
    <col min="2" max="2" width="10.33203125" style="1" customWidth="1"/>
    <col min="3" max="3" width="10.77734375" style="1" customWidth="1"/>
    <col min="4" max="4" width="10.21875" style="2" customWidth="1"/>
    <col min="5" max="5" width="11.77734375" style="1" customWidth="1"/>
    <col min="6" max="6" width="9.44140625" style="2" customWidth="1"/>
    <col min="7" max="9" width="10" style="2" customWidth="1"/>
    <col min="10" max="10" width="9" style="2" customWidth="1"/>
    <col min="11" max="15" width="12.44140625" style="2" customWidth="1"/>
    <col min="16" max="16" width="12.44140625" customWidth="1"/>
  </cols>
  <sheetData>
    <row r="1" spans="1:15" s="6" customFormat="1" ht="15.6" customHeight="1" x14ac:dyDescent="0.3">
      <c r="A1" s="11" t="s">
        <v>14</v>
      </c>
      <c r="B1" s="11" t="s">
        <v>0</v>
      </c>
      <c r="C1" s="11" t="s">
        <v>1</v>
      </c>
      <c r="D1" s="12" t="s">
        <v>2</v>
      </c>
      <c r="E1" s="11" t="s">
        <v>3</v>
      </c>
      <c r="F1" s="12" t="s">
        <v>4</v>
      </c>
      <c r="G1" s="12" t="s">
        <v>5</v>
      </c>
      <c r="H1" s="12" t="s">
        <v>6</v>
      </c>
      <c r="I1" s="12"/>
      <c r="J1" s="12" t="s">
        <v>7</v>
      </c>
      <c r="K1" s="12" t="s">
        <v>8</v>
      </c>
      <c r="L1" s="12" t="s">
        <v>9</v>
      </c>
      <c r="M1" s="12" t="s">
        <v>10</v>
      </c>
      <c r="N1" s="12" t="s">
        <v>11</v>
      </c>
      <c r="O1" s="12" t="s">
        <v>12</v>
      </c>
    </row>
    <row r="2" spans="1:15" ht="15.6" customHeight="1" x14ac:dyDescent="0.3">
      <c r="A2" s="13" t="s">
        <v>13</v>
      </c>
      <c r="B2" s="7"/>
      <c r="C2" s="7"/>
      <c r="D2" s="8"/>
      <c r="E2" s="7"/>
      <c r="F2" s="8"/>
      <c r="G2" s="8"/>
      <c r="H2" s="8"/>
      <c r="I2" s="8"/>
      <c r="J2" s="9"/>
      <c r="K2" s="10"/>
      <c r="L2" s="10"/>
      <c r="M2" s="10"/>
      <c r="N2" s="10"/>
      <c r="O2" s="10"/>
    </row>
    <row r="3" spans="1:15" ht="15.6" customHeight="1" x14ac:dyDescent="0.3">
      <c r="A3" s="1">
        <v>1</v>
      </c>
      <c r="B3" s="1">
        <v>200</v>
      </c>
      <c r="C3" s="1">
        <v>400</v>
      </c>
      <c r="D3" s="2">
        <v>0</v>
      </c>
      <c r="E3" s="1">
        <v>10</v>
      </c>
      <c r="F3" s="2">
        <v>0</v>
      </c>
      <c r="G3" s="2">
        <v>310.10000000000002</v>
      </c>
      <c r="H3" s="2">
        <v>18.579999999999998</v>
      </c>
      <c r="J3" s="4">
        <f t="shared" ref="J3:J23" si="0">H3/SQRT(C3)</f>
        <v>0.92899999999999994</v>
      </c>
      <c r="K3" s="5">
        <f t="shared" ref="K3:K23" si="1">-10*LOG10(G3/(B3*3))</f>
        <v>2.8664948414631719</v>
      </c>
      <c r="L3" s="5">
        <f t="shared" ref="L3:L23" si="2">-10*LOG10((G3+1.96*J3)/(B3*3))</f>
        <v>2.8410685865102909</v>
      </c>
      <c r="M3" s="5">
        <f t="shared" ref="M3:M23" si="3">-10*LOG10((G3-1.96*J3)/(B3*3))</f>
        <v>2.8920708343499566</v>
      </c>
      <c r="N3" s="5">
        <f t="shared" ref="N3:N23" si="4">K3-L3</f>
        <v>2.5426254952880978E-2</v>
      </c>
      <c r="O3" s="5">
        <f t="shared" ref="O3:O23" si="5">M3-K3</f>
        <v>2.5575992886784693E-2</v>
      </c>
    </row>
    <row r="4" spans="1:15" ht="15.6" customHeight="1" x14ac:dyDescent="0.3">
      <c r="A4" s="3">
        <v>1</v>
      </c>
      <c r="B4" s="3">
        <v>200</v>
      </c>
      <c r="C4" s="3">
        <v>400</v>
      </c>
      <c r="D4" s="4">
        <v>0.01</v>
      </c>
      <c r="E4" s="3">
        <v>10</v>
      </c>
      <c r="F4" s="4">
        <v>0</v>
      </c>
      <c r="G4" s="4">
        <v>311.14</v>
      </c>
      <c r="H4" s="4">
        <v>21.07</v>
      </c>
      <c r="I4" s="4"/>
      <c r="J4" s="4">
        <f t="shared" si="0"/>
        <v>1.0535000000000001</v>
      </c>
      <c r="K4" s="5">
        <f t="shared" si="1"/>
        <v>2.8519540300822626</v>
      </c>
      <c r="L4" s="5">
        <f t="shared" si="2"/>
        <v>2.8232275799771767</v>
      </c>
      <c r="M4" s="5">
        <f t="shared" si="3"/>
        <v>2.8808717574742109</v>
      </c>
      <c r="N4" s="5">
        <f t="shared" si="4"/>
        <v>2.8726450105085899E-2</v>
      </c>
      <c r="O4" s="5">
        <f t="shared" si="5"/>
        <v>2.8917727391948311E-2</v>
      </c>
    </row>
    <row r="5" spans="1:15" ht="15.6" customHeight="1" x14ac:dyDescent="0.3">
      <c r="A5" s="3">
        <v>1</v>
      </c>
      <c r="B5" s="3">
        <v>200</v>
      </c>
      <c r="C5" s="3">
        <v>400</v>
      </c>
      <c r="D5" s="4">
        <v>0.02</v>
      </c>
      <c r="E5" s="3">
        <v>10</v>
      </c>
      <c r="F5" s="4">
        <v>0</v>
      </c>
      <c r="G5" s="4">
        <v>318.45999999999998</v>
      </c>
      <c r="H5" s="4">
        <v>26.35</v>
      </c>
      <c r="I5" s="4"/>
      <c r="J5" s="4">
        <f t="shared" si="0"/>
        <v>1.3175000000000001</v>
      </c>
      <c r="K5" s="5">
        <f t="shared" si="1"/>
        <v>2.7509635961562462</v>
      </c>
      <c r="L5" s="5">
        <f t="shared" si="2"/>
        <v>2.715889922894017</v>
      </c>
      <c r="M5" s="5">
        <f t="shared" si="3"/>
        <v>2.7863228325910838</v>
      </c>
      <c r="N5" s="5">
        <f t="shared" si="4"/>
        <v>3.507367326222921E-2</v>
      </c>
      <c r="O5" s="5">
        <f t="shared" si="5"/>
        <v>3.5359236434837626E-2</v>
      </c>
    </row>
    <row r="6" spans="1:15" ht="15.6" customHeight="1" x14ac:dyDescent="0.3">
      <c r="A6" s="3">
        <v>1</v>
      </c>
      <c r="B6" s="3">
        <v>200</v>
      </c>
      <c r="C6" s="3">
        <v>400</v>
      </c>
      <c r="D6" s="4">
        <v>0.03</v>
      </c>
      <c r="E6" s="3">
        <v>10</v>
      </c>
      <c r="F6" s="4">
        <v>0</v>
      </c>
      <c r="G6" s="4">
        <v>324.52</v>
      </c>
      <c r="H6" s="4">
        <v>27.81</v>
      </c>
      <c r="I6" s="4"/>
      <c r="J6" s="4">
        <f t="shared" si="0"/>
        <v>1.3904999999999998</v>
      </c>
      <c r="K6" s="5">
        <f t="shared" si="1"/>
        <v>2.6690978307782847</v>
      </c>
      <c r="L6" s="5">
        <f t="shared" si="2"/>
        <v>2.6327772642034497</v>
      </c>
      <c r="M6" s="5">
        <f t="shared" si="3"/>
        <v>2.70572471415674</v>
      </c>
      <c r="N6" s="5">
        <f t="shared" si="4"/>
        <v>3.6320566574834956E-2</v>
      </c>
      <c r="O6" s="5">
        <f t="shared" si="5"/>
        <v>3.6626883378455322E-2</v>
      </c>
    </row>
    <row r="7" spans="1:15" ht="15.6" customHeight="1" x14ac:dyDescent="0.3">
      <c r="A7" s="3">
        <v>1</v>
      </c>
      <c r="B7" s="3">
        <v>200</v>
      </c>
      <c r="C7" s="3">
        <v>400</v>
      </c>
      <c r="D7" s="4">
        <v>0.04</v>
      </c>
      <c r="E7" s="3">
        <v>10</v>
      </c>
      <c r="F7" s="4">
        <v>0</v>
      </c>
      <c r="G7" s="4">
        <v>323.45999999999998</v>
      </c>
      <c r="H7" s="4">
        <v>28.96</v>
      </c>
      <c r="I7" s="4"/>
      <c r="J7" s="4">
        <f t="shared" si="0"/>
        <v>1.448</v>
      </c>
      <c r="K7" s="5">
        <f t="shared" si="1"/>
        <v>2.683306681713638</v>
      </c>
      <c r="L7" s="5">
        <f t="shared" si="2"/>
        <v>2.6453673205963173</v>
      </c>
      <c r="M7" s="5">
        <f t="shared" si="3"/>
        <v>2.7215803988386629</v>
      </c>
      <c r="N7" s="5">
        <f t="shared" si="4"/>
        <v>3.7939361117320658E-2</v>
      </c>
      <c r="O7" s="5">
        <f t="shared" si="5"/>
        <v>3.827371712502492E-2</v>
      </c>
    </row>
    <row r="8" spans="1:15" ht="15.6" customHeight="1" x14ac:dyDescent="0.3">
      <c r="A8" s="3">
        <v>1</v>
      </c>
      <c r="B8" s="3">
        <v>200</v>
      </c>
      <c r="C8" s="3">
        <v>400</v>
      </c>
      <c r="D8" s="4">
        <v>0.05</v>
      </c>
      <c r="E8" s="3">
        <v>10</v>
      </c>
      <c r="F8" s="4">
        <v>0</v>
      </c>
      <c r="G8" s="4">
        <v>306.06</v>
      </c>
      <c r="H8" s="4">
        <v>29.36</v>
      </c>
      <c r="I8" s="4"/>
      <c r="J8" s="4">
        <f t="shared" si="0"/>
        <v>1.468</v>
      </c>
      <c r="K8" s="5">
        <f t="shared" si="1"/>
        <v>2.9234467646881308</v>
      </c>
      <c r="L8" s="5">
        <f t="shared" si="2"/>
        <v>2.8828093184788344</v>
      </c>
      <c r="M8" s="5">
        <f t="shared" si="3"/>
        <v>2.9644680547675124</v>
      </c>
      <c r="N8" s="5">
        <f t="shared" si="4"/>
        <v>4.0637446209296435E-2</v>
      </c>
      <c r="O8" s="5">
        <f t="shared" si="5"/>
        <v>4.10212900793816E-2</v>
      </c>
    </row>
    <row r="9" spans="1:15" ht="15.6" customHeight="1" x14ac:dyDescent="0.3">
      <c r="A9" s="3">
        <v>1</v>
      </c>
      <c r="B9" s="3">
        <v>200</v>
      </c>
      <c r="C9" s="3">
        <v>400</v>
      </c>
      <c r="D9" s="4">
        <v>0.06</v>
      </c>
      <c r="E9" s="3">
        <v>10</v>
      </c>
      <c r="F9" s="4">
        <v>0</v>
      </c>
      <c r="G9" s="4">
        <v>272.45</v>
      </c>
      <c r="H9" s="4">
        <v>41.42</v>
      </c>
      <c r="I9" s="4"/>
      <c r="J9" s="4">
        <f t="shared" si="0"/>
        <v>2.0710000000000002</v>
      </c>
      <c r="K9" s="5">
        <f t="shared" si="1"/>
        <v>3.4286443814351597</v>
      </c>
      <c r="L9" s="5">
        <f t="shared" si="2"/>
        <v>3.3644172750400783</v>
      </c>
      <c r="M9" s="5">
        <f t="shared" si="3"/>
        <v>3.4938356081418194</v>
      </c>
      <c r="N9" s="5">
        <f t="shared" si="4"/>
        <v>6.4227106395081446E-2</v>
      </c>
      <c r="O9" s="5">
        <f t="shared" si="5"/>
        <v>6.5191226706659666E-2</v>
      </c>
    </row>
    <row r="10" spans="1:15" ht="15.6" customHeight="1" x14ac:dyDescent="0.3">
      <c r="A10" s="3">
        <v>1</v>
      </c>
      <c r="B10" s="3">
        <v>200</v>
      </c>
      <c r="C10" s="3">
        <v>400</v>
      </c>
      <c r="D10" s="4">
        <v>7.0000000000000007E-2</v>
      </c>
      <c r="E10" s="3">
        <v>10</v>
      </c>
      <c r="F10" s="4">
        <v>0</v>
      </c>
      <c r="G10" s="4">
        <v>216.7</v>
      </c>
      <c r="H10" s="4">
        <v>48.95</v>
      </c>
      <c r="I10" s="4"/>
      <c r="J10" s="4">
        <f t="shared" si="0"/>
        <v>2.4475000000000002</v>
      </c>
      <c r="K10" s="5">
        <f t="shared" si="1"/>
        <v>4.4229233906382568</v>
      </c>
      <c r="L10" s="5">
        <f t="shared" si="2"/>
        <v>4.3278320588434003</v>
      </c>
      <c r="M10" s="5">
        <f t="shared" si="3"/>
        <v>4.5201435008918072</v>
      </c>
      <c r="N10" s="5">
        <f t="shared" si="4"/>
        <v>9.5091331794856515E-2</v>
      </c>
      <c r="O10" s="5">
        <f t="shared" si="5"/>
        <v>9.7220110253550374E-2</v>
      </c>
    </row>
    <row r="11" spans="1:15" ht="15.6" customHeight="1" x14ac:dyDescent="0.3">
      <c r="A11" s="3">
        <v>1</v>
      </c>
      <c r="B11" s="3">
        <v>200</v>
      </c>
      <c r="C11" s="3">
        <v>400</v>
      </c>
      <c r="D11" s="4">
        <v>0.08</v>
      </c>
      <c r="E11" s="3">
        <v>10</v>
      </c>
      <c r="F11" s="4">
        <v>0</v>
      </c>
      <c r="G11" s="4">
        <v>177.92</v>
      </c>
      <c r="H11" s="4">
        <v>41.34</v>
      </c>
      <c r="I11" s="4"/>
      <c r="J11" s="4">
        <f t="shared" si="0"/>
        <v>2.0670000000000002</v>
      </c>
      <c r="K11" s="5">
        <f t="shared" si="1"/>
        <v>5.279264804816802</v>
      </c>
      <c r="L11" s="5">
        <f t="shared" si="2"/>
        <v>5.1814830496578415</v>
      </c>
      <c r="M11" s="5">
        <f t="shared" si="3"/>
        <v>5.3792989338503441</v>
      </c>
      <c r="N11" s="5">
        <f t="shared" si="4"/>
        <v>9.7781755158960593E-2</v>
      </c>
      <c r="O11" s="5">
        <f t="shared" si="5"/>
        <v>0.10003412903354203</v>
      </c>
    </row>
    <row r="12" spans="1:15" ht="15.6" customHeight="1" x14ac:dyDescent="0.3">
      <c r="A12" s="3">
        <v>1</v>
      </c>
      <c r="B12" s="3">
        <v>200</v>
      </c>
      <c r="C12" s="3">
        <v>400</v>
      </c>
      <c r="D12" s="4">
        <v>0.09</v>
      </c>
      <c r="E12" s="3">
        <v>10</v>
      </c>
      <c r="F12" s="4">
        <v>0</v>
      </c>
      <c r="G12" s="4">
        <v>158.69</v>
      </c>
      <c r="H12" s="4">
        <v>35.53</v>
      </c>
      <c r="I12" s="4"/>
      <c r="J12" s="4">
        <f t="shared" si="0"/>
        <v>1.7765</v>
      </c>
      <c r="K12" s="5">
        <f t="shared" si="1"/>
        <v>5.7760169024286938</v>
      </c>
      <c r="L12" s="5">
        <f t="shared" si="2"/>
        <v>5.6817553834683245</v>
      </c>
      <c r="M12" s="5">
        <f t="shared" si="3"/>
        <v>5.8723697983625609</v>
      </c>
      <c r="N12" s="5">
        <f t="shared" si="4"/>
        <v>9.4261518960369273E-2</v>
      </c>
      <c r="O12" s="5">
        <f t="shared" si="5"/>
        <v>9.6352895933867089E-2</v>
      </c>
    </row>
    <row r="13" spans="1:15" ht="15.6" customHeight="1" x14ac:dyDescent="0.3">
      <c r="A13" s="3">
        <v>1</v>
      </c>
      <c r="B13" s="3">
        <v>200</v>
      </c>
      <c r="C13" s="3">
        <v>400</v>
      </c>
      <c r="D13" s="4">
        <v>0.1</v>
      </c>
      <c r="E13" s="3">
        <v>10</v>
      </c>
      <c r="F13" s="4">
        <v>0</v>
      </c>
      <c r="G13" s="4">
        <v>151.19999999999999</v>
      </c>
      <c r="H13" s="4">
        <v>23.17</v>
      </c>
      <c r="I13" s="4"/>
      <c r="J13" s="4">
        <f t="shared" si="0"/>
        <v>1.1585000000000001</v>
      </c>
      <c r="K13" s="5">
        <f t="shared" si="1"/>
        <v>5.985994592184559</v>
      </c>
      <c r="L13" s="5">
        <f t="shared" si="2"/>
        <v>5.9212588958038452</v>
      </c>
      <c r="M13" s="5">
        <f t="shared" si="3"/>
        <v>6.051709855067493</v>
      </c>
      <c r="N13" s="5">
        <f t="shared" si="4"/>
        <v>6.4735696380713748E-2</v>
      </c>
      <c r="O13" s="5">
        <f t="shared" si="5"/>
        <v>6.5715262882934056E-2</v>
      </c>
    </row>
    <row r="14" spans="1:15" ht="15.6" customHeight="1" x14ac:dyDescent="0.3">
      <c r="A14" s="3">
        <v>1</v>
      </c>
      <c r="B14" s="3">
        <v>200</v>
      </c>
      <c r="C14" s="3">
        <v>400</v>
      </c>
      <c r="D14" s="4">
        <v>0.11</v>
      </c>
      <c r="E14" s="3">
        <v>10</v>
      </c>
      <c r="F14" s="4">
        <v>0</v>
      </c>
      <c r="G14" s="4">
        <v>151.01</v>
      </c>
      <c r="H14" s="4">
        <v>18.61</v>
      </c>
      <c r="I14" s="4"/>
      <c r="J14" s="4">
        <f t="shared" si="0"/>
        <v>0.93049999999999999</v>
      </c>
      <c r="K14" s="5">
        <f t="shared" si="1"/>
        <v>5.9914554281882353</v>
      </c>
      <c r="L14" s="5">
        <f t="shared" si="2"/>
        <v>5.939318958415293</v>
      </c>
      <c r="M14" s="5">
        <f t="shared" si="3"/>
        <v>6.0442254021176041</v>
      </c>
      <c r="N14" s="5">
        <f t="shared" si="4"/>
        <v>5.2136469772942284E-2</v>
      </c>
      <c r="O14" s="5">
        <f t="shared" si="5"/>
        <v>5.2769973929368774E-2</v>
      </c>
    </row>
    <row r="15" spans="1:15" ht="15.6" customHeight="1" x14ac:dyDescent="0.3">
      <c r="A15" s="3">
        <v>1</v>
      </c>
      <c r="B15" s="3">
        <v>200</v>
      </c>
      <c r="C15" s="3">
        <v>400</v>
      </c>
      <c r="D15" s="4">
        <v>0.12</v>
      </c>
      <c r="E15" s="3">
        <v>10</v>
      </c>
      <c r="F15" s="4">
        <v>0</v>
      </c>
      <c r="G15" s="4">
        <v>160.91999999999999</v>
      </c>
      <c r="H15" s="4">
        <v>18.91</v>
      </c>
      <c r="I15" s="4"/>
      <c r="J15" s="4">
        <f t="shared" si="0"/>
        <v>0.94550000000000001</v>
      </c>
      <c r="K15" s="5">
        <f t="shared" si="1"/>
        <v>5.7154122648441987</v>
      </c>
      <c r="L15" s="5">
        <f t="shared" si="2"/>
        <v>5.6656840227240988</v>
      </c>
      <c r="M15" s="5">
        <f t="shared" si="3"/>
        <v>5.7657165146425289</v>
      </c>
      <c r="N15" s="5">
        <f t="shared" si="4"/>
        <v>4.9728242120099964E-2</v>
      </c>
      <c r="O15" s="5">
        <f t="shared" si="5"/>
        <v>5.0304249798330147E-2</v>
      </c>
    </row>
    <row r="16" spans="1:15" ht="15.6" customHeight="1" x14ac:dyDescent="0.3">
      <c r="A16" s="3">
        <v>1</v>
      </c>
      <c r="B16" s="3">
        <v>200</v>
      </c>
      <c r="C16" s="3">
        <v>400</v>
      </c>
      <c r="D16" s="4">
        <v>0.13</v>
      </c>
      <c r="E16" s="3">
        <v>10</v>
      </c>
      <c r="F16" s="4">
        <v>0</v>
      </c>
      <c r="G16" s="4">
        <v>167.81</v>
      </c>
      <c r="H16" s="4">
        <v>19.43</v>
      </c>
      <c r="I16" s="4"/>
      <c r="J16" s="4">
        <f t="shared" si="0"/>
        <v>0.97150000000000003</v>
      </c>
      <c r="K16" s="5">
        <f t="shared" si="1"/>
        <v>5.5333341298860343</v>
      </c>
      <c r="L16" s="5">
        <f t="shared" si="2"/>
        <v>5.4843322263198635</v>
      </c>
      <c r="M16" s="5">
        <f t="shared" si="3"/>
        <v>5.5828952427056837</v>
      </c>
      <c r="N16" s="5">
        <f t="shared" si="4"/>
        <v>4.9001903566170846E-2</v>
      </c>
      <c r="O16" s="5">
        <f t="shared" si="5"/>
        <v>4.9561112819649367E-2</v>
      </c>
    </row>
    <row r="17" spans="1:15" ht="15.6" customHeight="1" x14ac:dyDescent="0.3">
      <c r="A17" s="3">
        <v>1</v>
      </c>
      <c r="B17" s="3">
        <v>200</v>
      </c>
      <c r="C17" s="3">
        <v>400</v>
      </c>
      <c r="D17" s="4">
        <v>0.14000000000000001</v>
      </c>
      <c r="E17" s="3">
        <v>10</v>
      </c>
      <c r="F17" s="4">
        <v>0</v>
      </c>
      <c r="G17" s="4">
        <v>177.67</v>
      </c>
      <c r="H17" s="4">
        <v>17.809999999999999</v>
      </c>
      <c r="I17" s="4"/>
      <c r="J17" s="4">
        <f t="shared" si="0"/>
        <v>0.89049999999999996</v>
      </c>
      <c r="K17" s="5">
        <f t="shared" si="1"/>
        <v>5.2853714803906229</v>
      </c>
      <c r="L17" s="5">
        <f t="shared" si="2"/>
        <v>5.2429158111351493</v>
      </c>
      <c r="M17" s="5">
        <f t="shared" si="3"/>
        <v>5.3282462876624201</v>
      </c>
      <c r="N17" s="5">
        <f t="shared" si="4"/>
        <v>4.2455669255473616E-2</v>
      </c>
      <c r="O17" s="5">
        <f t="shared" si="5"/>
        <v>4.2874807271797266E-2</v>
      </c>
    </row>
    <row r="18" spans="1:15" ht="15.6" customHeight="1" x14ac:dyDescent="0.3">
      <c r="A18" s="3">
        <v>1</v>
      </c>
      <c r="B18" s="3">
        <v>200</v>
      </c>
      <c r="C18" s="3">
        <v>400</v>
      </c>
      <c r="D18" s="4">
        <v>0.15</v>
      </c>
      <c r="E18" s="3">
        <v>10</v>
      </c>
      <c r="F18" s="4">
        <v>0</v>
      </c>
      <c r="G18" s="4">
        <v>187.06</v>
      </c>
      <c r="H18" s="4">
        <v>19.86</v>
      </c>
      <c r="I18" s="4"/>
      <c r="J18" s="4">
        <f t="shared" si="0"/>
        <v>0.99299999999999999</v>
      </c>
      <c r="K18" s="5">
        <f t="shared" si="1"/>
        <v>5.0617032037423826</v>
      </c>
      <c r="L18" s="5">
        <f t="shared" si="2"/>
        <v>5.0167501592449737</v>
      </c>
      <c r="M18" s="5">
        <f t="shared" si="3"/>
        <v>5.1071264200635476</v>
      </c>
      <c r="N18" s="5">
        <f t="shared" si="4"/>
        <v>4.4953044497408889E-2</v>
      </c>
      <c r="O18" s="5">
        <f t="shared" si="5"/>
        <v>4.5423216321164972E-2</v>
      </c>
    </row>
    <row r="19" spans="1:15" ht="15.6" customHeight="1" x14ac:dyDescent="0.3">
      <c r="A19" s="3">
        <v>1</v>
      </c>
      <c r="B19" s="3">
        <v>200</v>
      </c>
      <c r="C19" s="3">
        <v>400</v>
      </c>
      <c r="D19" s="4">
        <v>0.16</v>
      </c>
      <c r="E19" s="3">
        <v>10</v>
      </c>
      <c r="F19" s="4">
        <v>0</v>
      </c>
      <c r="G19" s="4">
        <v>197.25</v>
      </c>
      <c r="H19" s="4">
        <v>19.52</v>
      </c>
      <c r="I19" s="4"/>
      <c r="J19" s="4">
        <f t="shared" si="0"/>
        <v>0.97599999999999998</v>
      </c>
      <c r="K19" s="5">
        <f t="shared" si="1"/>
        <v>4.8313423850218573</v>
      </c>
      <c r="L19" s="5">
        <f t="shared" si="2"/>
        <v>4.789426781602498</v>
      </c>
      <c r="M19" s="5">
        <f t="shared" si="3"/>
        <v>4.8736664794388753</v>
      </c>
      <c r="N19" s="5">
        <f t="shared" si="4"/>
        <v>4.1915603419359293E-2</v>
      </c>
      <c r="O19" s="5">
        <f t="shared" si="5"/>
        <v>4.232409441701801E-2</v>
      </c>
    </row>
    <row r="20" spans="1:15" ht="15.6" customHeight="1" x14ac:dyDescent="0.3">
      <c r="A20" s="3">
        <v>1</v>
      </c>
      <c r="B20" s="3">
        <v>200</v>
      </c>
      <c r="C20" s="3">
        <v>400</v>
      </c>
      <c r="D20" s="4">
        <v>0.17</v>
      </c>
      <c r="E20" s="3">
        <v>10</v>
      </c>
      <c r="F20" s="4">
        <v>0</v>
      </c>
      <c r="G20" s="4">
        <v>207.76</v>
      </c>
      <c r="H20" s="4">
        <v>18.079999999999998</v>
      </c>
      <c r="I20" s="4"/>
      <c r="J20" s="4">
        <f t="shared" si="0"/>
        <v>0.90399999999999991</v>
      </c>
      <c r="K20" s="5">
        <f t="shared" si="1"/>
        <v>4.6058931376239727</v>
      </c>
      <c r="L20" s="5">
        <f t="shared" si="2"/>
        <v>4.5690122362730037</v>
      </c>
      <c r="M20" s="5">
        <f t="shared" si="3"/>
        <v>4.6430899212343597</v>
      </c>
      <c r="N20" s="5">
        <f t="shared" si="4"/>
        <v>3.6880901350968998E-2</v>
      </c>
      <c r="O20" s="5">
        <f t="shared" si="5"/>
        <v>3.719678361038703E-2</v>
      </c>
    </row>
    <row r="21" spans="1:15" ht="15.6" customHeight="1" x14ac:dyDescent="0.3">
      <c r="A21" s="3">
        <v>1</v>
      </c>
      <c r="B21" s="3">
        <v>200</v>
      </c>
      <c r="C21" s="3">
        <v>400</v>
      </c>
      <c r="D21" s="4">
        <v>0.18</v>
      </c>
      <c r="E21" s="3">
        <v>10</v>
      </c>
      <c r="F21" s="4">
        <v>0</v>
      </c>
      <c r="G21" s="4">
        <v>211.73</v>
      </c>
      <c r="H21" s="4">
        <v>16.73</v>
      </c>
      <c r="I21" s="4"/>
      <c r="J21" s="4">
        <f t="shared" si="0"/>
        <v>0.83650000000000002</v>
      </c>
      <c r="K21" s="5">
        <f t="shared" si="1"/>
        <v>4.5236885286783837</v>
      </c>
      <c r="L21" s="5">
        <f t="shared" si="2"/>
        <v>4.4901882945691849</v>
      </c>
      <c r="M21" s="5">
        <f t="shared" si="3"/>
        <v>4.5574491841283891</v>
      </c>
      <c r="N21" s="5">
        <f t="shared" si="4"/>
        <v>3.3500234109198779E-2</v>
      </c>
      <c r="O21" s="5">
        <f t="shared" si="5"/>
        <v>3.3760655450005395E-2</v>
      </c>
    </row>
    <row r="22" spans="1:15" ht="15.6" customHeight="1" x14ac:dyDescent="0.3">
      <c r="A22" s="3">
        <v>1</v>
      </c>
      <c r="B22" s="3">
        <v>200</v>
      </c>
      <c r="C22" s="3">
        <v>400</v>
      </c>
      <c r="D22" s="4">
        <v>0.19</v>
      </c>
      <c r="E22" s="3">
        <v>10</v>
      </c>
      <c r="F22" s="4">
        <v>0</v>
      </c>
      <c r="G22" s="4">
        <v>214.92</v>
      </c>
      <c r="H22" s="4">
        <v>15.67</v>
      </c>
      <c r="I22" s="4"/>
      <c r="J22" s="4">
        <f t="shared" si="0"/>
        <v>0.78349999999999997</v>
      </c>
      <c r="K22" s="5">
        <f t="shared" si="1"/>
        <v>4.4587441848698735</v>
      </c>
      <c r="L22" s="5">
        <f t="shared" si="2"/>
        <v>4.4278230391832434</v>
      </c>
      <c r="M22" s="5">
        <f t="shared" si="3"/>
        <v>4.4898870643455844</v>
      </c>
      <c r="N22" s="5">
        <f t="shared" si="4"/>
        <v>3.0921145686630069E-2</v>
      </c>
      <c r="O22" s="5">
        <f t="shared" si="5"/>
        <v>3.1142879475710927E-2</v>
      </c>
    </row>
    <row r="23" spans="1:15" ht="15.6" customHeight="1" x14ac:dyDescent="0.3">
      <c r="A23" s="3">
        <v>1</v>
      </c>
      <c r="B23" s="3">
        <v>200</v>
      </c>
      <c r="C23" s="3">
        <v>400</v>
      </c>
      <c r="D23" s="4">
        <v>0.2</v>
      </c>
      <c r="E23" s="3">
        <v>10</v>
      </c>
      <c r="F23" s="4">
        <v>0</v>
      </c>
      <c r="G23" s="4">
        <v>216.91</v>
      </c>
      <c r="H23" s="4">
        <v>14.36</v>
      </c>
      <c r="I23" s="4"/>
      <c r="J23" s="4">
        <f t="shared" si="0"/>
        <v>0.71799999999999997</v>
      </c>
      <c r="K23" s="5">
        <f t="shared" si="1"/>
        <v>4.4187167603331332</v>
      </c>
      <c r="L23" s="5">
        <f t="shared" si="2"/>
        <v>4.3906313853322487</v>
      </c>
      <c r="M23" s="5">
        <f t="shared" si="3"/>
        <v>4.4469849433916284</v>
      </c>
      <c r="N23" s="5">
        <f t="shared" si="4"/>
        <v>2.8085375000884483E-2</v>
      </c>
      <c r="O23" s="5">
        <f t="shared" si="5"/>
        <v>2.8268183058495211E-2</v>
      </c>
    </row>
    <row r="24" spans="1:15" ht="15.6" customHeight="1" x14ac:dyDescent="0.3">
      <c r="A24" s="13" t="s">
        <v>15</v>
      </c>
      <c r="B24" s="7"/>
      <c r="C24" s="7"/>
      <c r="D24" s="8"/>
      <c r="E24" s="7"/>
      <c r="F24" s="8"/>
      <c r="G24" s="8"/>
      <c r="H24" s="8"/>
      <c r="I24" s="8"/>
      <c r="J24" s="9"/>
      <c r="K24" s="10"/>
      <c r="L24" s="10"/>
      <c r="M24" s="10"/>
      <c r="N24" s="10"/>
      <c r="O24" s="10"/>
    </row>
    <row r="25" spans="1:15" ht="15.6" customHeight="1" x14ac:dyDescent="0.3">
      <c r="A25" s="3">
        <v>2</v>
      </c>
      <c r="B25" s="3">
        <v>200</v>
      </c>
      <c r="C25" s="3">
        <v>400</v>
      </c>
      <c r="D25" s="4">
        <v>0</v>
      </c>
      <c r="E25" s="3">
        <v>10</v>
      </c>
      <c r="F25" s="4">
        <v>0</v>
      </c>
      <c r="G25" s="4">
        <v>386.94</v>
      </c>
      <c r="H25" s="4">
        <v>22.38</v>
      </c>
      <c r="I25" s="4"/>
      <c r="J25" s="4">
        <f t="shared" ref="J25:J45" si="6">H25/SQRT(C25)</f>
        <v>1.119</v>
      </c>
      <c r="K25" s="5">
        <f t="shared" ref="K25:K45" si="7">-10*LOG10(G25/(B25*3))</f>
        <v>1.9050762306265814</v>
      </c>
      <c r="L25" s="5">
        <f t="shared" ref="L25:L45" si="8">-10*LOG10((G25+1.96*J25)/(B25*3))</f>
        <v>1.8805292029437781</v>
      </c>
      <c r="M25" s="5">
        <f t="shared" ref="M25:M45" si="9">-10*LOG10((G25-1.96*J25)/(B25*3))</f>
        <v>1.9297627911221595</v>
      </c>
      <c r="N25" s="5">
        <f t="shared" ref="N25:N45" si="10">K25-L25</f>
        <v>2.4547027682803257E-2</v>
      </c>
      <c r="O25" s="5">
        <f t="shared" ref="O25:O45" si="11">M25-K25</f>
        <v>2.4686560495578158E-2</v>
      </c>
    </row>
    <row r="26" spans="1:15" ht="15.6" customHeight="1" x14ac:dyDescent="0.3">
      <c r="A26" s="3">
        <v>2</v>
      </c>
      <c r="B26" s="3">
        <v>200</v>
      </c>
      <c r="C26" s="3">
        <v>400</v>
      </c>
      <c r="D26" s="4">
        <v>0.01</v>
      </c>
      <c r="E26" s="3">
        <v>10</v>
      </c>
      <c r="F26" s="3">
        <v>0</v>
      </c>
      <c r="G26" s="4">
        <v>387.17</v>
      </c>
      <c r="H26" s="4">
        <v>21.75</v>
      </c>
      <c r="I26" s="4"/>
      <c r="J26" s="4">
        <f t="shared" si="6"/>
        <v>1.0874999999999999</v>
      </c>
      <c r="K26" s="5">
        <f t="shared" si="7"/>
        <v>1.9024955190022124</v>
      </c>
      <c r="L26" s="5">
        <f t="shared" si="8"/>
        <v>1.8786517330183452</v>
      </c>
      <c r="M26" s="5">
        <f t="shared" si="9"/>
        <v>1.9264709359828027</v>
      </c>
      <c r="N26" s="5">
        <f t="shared" si="10"/>
        <v>2.3843785983867161E-2</v>
      </c>
      <c r="O26" s="5">
        <f t="shared" si="11"/>
        <v>2.3975416980590358E-2</v>
      </c>
    </row>
    <row r="27" spans="1:15" ht="15.6" customHeight="1" x14ac:dyDescent="0.3">
      <c r="A27" s="3">
        <v>2</v>
      </c>
      <c r="B27" s="3">
        <v>200</v>
      </c>
      <c r="C27" s="3">
        <v>400</v>
      </c>
      <c r="D27" s="4">
        <v>0.02</v>
      </c>
      <c r="E27" s="3">
        <v>10</v>
      </c>
      <c r="F27" s="4">
        <v>0</v>
      </c>
      <c r="G27" s="4">
        <v>390.4</v>
      </c>
      <c r="H27" s="4">
        <v>23.97</v>
      </c>
      <c r="I27" s="4"/>
      <c r="J27" s="4">
        <f t="shared" si="6"/>
        <v>1.1984999999999999</v>
      </c>
      <c r="K27" s="5">
        <f t="shared" si="7"/>
        <v>1.8664144138898946</v>
      </c>
      <c r="L27" s="5">
        <f t="shared" si="8"/>
        <v>1.840360961046092</v>
      </c>
      <c r="M27" s="5">
        <f t="shared" si="9"/>
        <v>1.8926251059152839</v>
      </c>
      <c r="N27" s="5">
        <f t="shared" si="10"/>
        <v>2.605345284380256E-2</v>
      </c>
      <c r="O27" s="5">
        <f t="shared" si="11"/>
        <v>2.6210692025389282E-2</v>
      </c>
    </row>
    <row r="28" spans="1:15" ht="15.6" customHeight="1" x14ac:dyDescent="0.3">
      <c r="A28" s="3">
        <v>2</v>
      </c>
      <c r="B28" s="3">
        <v>200</v>
      </c>
      <c r="C28" s="3">
        <v>400</v>
      </c>
      <c r="D28" s="4">
        <v>0.03</v>
      </c>
      <c r="E28" s="3">
        <v>10</v>
      </c>
      <c r="F28" s="4">
        <v>0</v>
      </c>
      <c r="G28" s="4">
        <v>396.61</v>
      </c>
      <c r="H28" s="4">
        <v>24.11</v>
      </c>
      <c r="I28" s="4"/>
      <c r="J28" s="4">
        <f t="shared" si="6"/>
        <v>1.2055</v>
      </c>
      <c r="K28" s="5">
        <f t="shared" si="7"/>
        <v>1.7978759021161705</v>
      </c>
      <c r="L28" s="5">
        <f t="shared" si="8"/>
        <v>1.7720798351657012</v>
      </c>
      <c r="M28" s="5">
        <f t="shared" si="9"/>
        <v>1.8238261076169213</v>
      </c>
      <c r="N28" s="5">
        <f t="shared" si="10"/>
        <v>2.5796066950469321E-2</v>
      </c>
      <c r="O28" s="5">
        <f t="shared" si="11"/>
        <v>2.5950205500750778E-2</v>
      </c>
    </row>
    <row r="29" spans="1:15" ht="15.6" customHeight="1" x14ac:dyDescent="0.3">
      <c r="A29" s="3">
        <v>2</v>
      </c>
      <c r="B29" s="3">
        <v>200</v>
      </c>
      <c r="C29" s="3">
        <v>400</v>
      </c>
      <c r="D29" s="4">
        <v>0.04</v>
      </c>
      <c r="E29" s="3">
        <v>10</v>
      </c>
      <c r="F29" s="4">
        <v>0</v>
      </c>
      <c r="G29" s="4">
        <v>389.86</v>
      </c>
      <c r="H29" s="4">
        <v>27.15</v>
      </c>
      <c r="I29" s="4"/>
      <c r="J29" s="4">
        <f t="shared" si="6"/>
        <v>1.3574999999999999</v>
      </c>
      <c r="K29" s="5">
        <f t="shared" si="7"/>
        <v>1.8724257192924607</v>
      </c>
      <c r="L29" s="5">
        <f t="shared" si="8"/>
        <v>1.8428868571326311</v>
      </c>
      <c r="M29" s="5">
        <f t="shared" si="9"/>
        <v>1.9021668688781475</v>
      </c>
      <c r="N29" s="5">
        <f t="shared" si="10"/>
        <v>2.9538862159829593E-2</v>
      </c>
      <c r="O29" s="5">
        <f t="shared" si="11"/>
        <v>2.9741149585686744E-2</v>
      </c>
    </row>
    <row r="30" spans="1:15" ht="15.6" customHeight="1" x14ac:dyDescent="0.3">
      <c r="A30" s="3">
        <v>2</v>
      </c>
      <c r="B30" s="3">
        <v>200</v>
      </c>
      <c r="C30" s="3">
        <v>400</v>
      </c>
      <c r="D30" s="4">
        <v>0.05</v>
      </c>
      <c r="E30" s="3">
        <v>10</v>
      </c>
      <c r="F30" s="4">
        <v>0</v>
      </c>
      <c r="G30" s="4">
        <v>357.22</v>
      </c>
      <c r="H30" s="4">
        <v>35.81</v>
      </c>
      <c r="I30" s="4"/>
      <c r="J30" s="4">
        <f t="shared" si="6"/>
        <v>1.7905000000000002</v>
      </c>
      <c r="K30" s="5">
        <f t="shared" si="7"/>
        <v>2.2521548424753473</v>
      </c>
      <c r="L30" s="5">
        <f t="shared" si="8"/>
        <v>2.20969735034353</v>
      </c>
      <c r="M30" s="5">
        <f t="shared" si="9"/>
        <v>2.2950315087944504</v>
      </c>
      <c r="N30" s="5">
        <f t="shared" si="10"/>
        <v>4.2457492131817265E-2</v>
      </c>
      <c r="O30" s="5">
        <f t="shared" si="11"/>
        <v>4.2876666319103141E-2</v>
      </c>
    </row>
    <row r="31" spans="1:15" ht="15.6" customHeight="1" x14ac:dyDescent="0.3">
      <c r="A31" s="3">
        <v>2</v>
      </c>
      <c r="B31" s="3">
        <v>200</v>
      </c>
      <c r="C31" s="3">
        <v>400</v>
      </c>
      <c r="D31" s="4">
        <v>0.06</v>
      </c>
      <c r="E31" s="3">
        <v>10</v>
      </c>
      <c r="F31" s="4">
        <v>0</v>
      </c>
      <c r="G31" s="4">
        <v>300.81</v>
      </c>
      <c r="H31" s="4">
        <v>50.06</v>
      </c>
      <c r="I31" s="4"/>
      <c r="J31" s="4">
        <f t="shared" si="6"/>
        <v>2.5030000000000001</v>
      </c>
      <c r="K31" s="5">
        <f t="shared" si="7"/>
        <v>2.9985898072258048</v>
      </c>
      <c r="L31" s="5">
        <f t="shared" si="8"/>
        <v>2.928332522291861</v>
      </c>
      <c r="M31" s="5">
        <f t="shared" si="9"/>
        <v>3.0700023831253809</v>
      </c>
      <c r="N31" s="5">
        <f t="shared" si="10"/>
        <v>7.0257284933943787E-2</v>
      </c>
      <c r="O31" s="5">
        <f t="shared" si="11"/>
        <v>7.1412575899576058E-2</v>
      </c>
    </row>
    <row r="32" spans="1:15" ht="15.6" customHeight="1" x14ac:dyDescent="0.3">
      <c r="A32" s="3">
        <v>2</v>
      </c>
      <c r="B32" s="3">
        <v>200</v>
      </c>
      <c r="C32" s="3">
        <v>400</v>
      </c>
      <c r="D32" s="4">
        <v>7.0000000000000007E-2</v>
      </c>
      <c r="E32" s="3">
        <v>10</v>
      </c>
      <c r="F32" s="4">
        <v>0</v>
      </c>
      <c r="G32" s="4">
        <v>236.63</v>
      </c>
      <c r="H32" s="4">
        <v>50.22</v>
      </c>
      <c r="I32" s="4"/>
      <c r="J32" s="4">
        <f t="shared" si="6"/>
        <v>2.5110000000000001</v>
      </c>
      <c r="K32" s="5">
        <f t="shared" si="7"/>
        <v>4.0408144665756875</v>
      </c>
      <c r="L32" s="5">
        <f t="shared" si="8"/>
        <v>3.9514140377036182</v>
      </c>
      <c r="M32" s="5">
        <f t="shared" si="9"/>
        <v>4.1320939709142648</v>
      </c>
      <c r="N32" s="5">
        <f t="shared" si="10"/>
        <v>8.9400428872069337E-2</v>
      </c>
      <c r="O32" s="5">
        <f t="shared" si="11"/>
        <v>9.1279504338577233E-2</v>
      </c>
    </row>
    <row r="33" spans="1:15" ht="15.6" customHeight="1" x14ac:dyDescent="0.3">
      <c r="A33" s="3">
        <v>2</v>
      </c>
      <c r="B33" s="3">
        <v>200</v>
      </c>
      <c r="C33" s="3">
        <v>400</v>
      </c>
      <c r="D33" s="4">
        <v>0.08</v>
      </c>
      <c r="E33" s="3">
        <v>10</v>
      </c>
      <c r="F33" s="3">
        <v>0</v>
      </c>
      <c r="G33" s="4">
        <v>196.82</v>
      </c>
      <c r="H33" s="4">
        <v>35.43</v>
      </c>
      <c r="I33" s="4"/>
      <c r="J33" s="4">
        <f t="shared" si="6"/>
        <v>1.7715000000000001</v>
      </c>
      <c r="K33" s="5">
        <f t="shared" si="7"/>
        <v>4.8408202291275284</v>
      </c>
      <c r="L33" s="5">
        <f t="shared" si="8"/>
        <v>4.7648734363427812</v>
      </c>
      <c r="M33" s="5">
        <f t="shared" si="9"/>
        <v>4.9181188077742757</v>
      </c>
      <c r="N33" s="5">
        <f t="shared" si="10"/>
        <v>7.5946792784747252E-2</v>
      </c>
      <c r="O33" s="5">
        <f t="shared" si="11"/>
        <v>7.7298578646747274E-2</v>
      </c>
    </row>
    <row r="34" spans="1:15" ht="15.6" customHeight="1" x14ac:dyDescent="0.3">
      <c r="A34" s="3">
        <v>2</v>
      </c>
      <c r="B34" s="3">
        <v>200</v>
      </c>
      <c r="C34" s="3">
        <v>400</v>
      </c>
      <c r="D34" s="4">
        <v>0.09</v>
      </c>
      <c r="E34" s="3">
        <v>10</v>
      </c>
      <c r="F34" s="4">
        <v>0</v>
      </c>
      <c r="G34" s="4">
        <v>182.44</v>
      </c>
      <c r="H34" s="4">
        <v>26.16</v>
      </c>
      <c r="I34" s="4"/>
      <c r="J34" s="4">
        <f t="shared" si="6"/>
        <v>1.3080000000000001</v>
      </c>
      <c r="K34" s="5">
        <f t="shared" si="7"/>
        <v>5.1703118681474294</v>
      </c>
      <c r="L34" s="5">
        <f t="shared" si="8"/>
        <v>5.1097088312766781</v>
      </c>
      <c r="M34" s="5">
        <f t="shared" si="9"/>
        <v>5.2317725641125348</v>
      </c>
      <c r="N34" s="5">
        <f t="shared" si="10"/>
        <v>6.0603036870751303E-2</v>
      </c>
      <c r="O34" s="5">
        <f t="shared" si="11"/>
        <v>6.1460695965105394E-2</v>
      </c>
    </row>
    <row r="35" spans="1:15" ht="15.6" customHeight="1" x14ac:dyDescent="0.3">
      <c r="A35" s="3">
        <v>2</v>
      </c>
      <c r="B35" s="3">
        <v>200</v>
      </c>
      <c r="C35" s="3">
        <v>400</v>
      </c>
      <c r="D35" s="4">
        <v>0.1</v>
      </c>
      <c r="E35" s="3">
        <v>10</v>
      </c>
      <c r="F35" s="3">
        <v>0</v>
      </c>
      <c r="G35" s="4">
        <v>176.26</v>
      </c>
      <c r="H35" s="4">
        <v>18.399999999999999</v>
      </c>
      <c r="I35" s="4"/>
      <c r="J35" s="4">
        <f t="shared" si="6"/>
        <v>0.91999999999999993</v>
      </c>
      <c r="K35" s="5">
        <f t="shared" si="7"/>
        <v>5.3199748459754304</v>
      </c>
      <c r="L35" s="5">
        <f t="shared" si="8"/>
        <v>5.2757707650327292</v>
      </c>
      <c r="M35" s="5">
        <f t="shared" si="9"/>
        <v>5.3646334828239715</v>
      </c>
      <c r="N35" s="5">
        <f t="shared" si="10"/>
        <v>4.4204080942701118E-2</v>
      </c>
      <c r="O35" s="5">
        <f t="shared" si="11"/>
        <v>4.46586368485411E-2</v>
      </c>
    </row>
    <row r="36" spans="1:15" ht="15.6" customHeight="1" x14ac:dyDescent="0.3">
      <c r="A36" s="3">
        <v>2</v>
      </c>
      <c r="B36" s="3">
        <v>200</v>
      </c>
      <c r="C36" s="3">
        <v>400</v>
      </c>
      <c r="D36" s="4">
        <v>0.11</v>
      </c>
      <c r="E36" s="3">
        <v>10</v>
      </c>
      <c r="F36" s="3">
        <v>0</v>
      </c>
      <c r="G36" s="4">
        <v>177.84</v>
      </c>
      <c r="H36" s="4">
        <v>18.350000000000001</v>
      </c>
      <c r="I36" s="4"/>
      <c r="J36" s="4">
        <f t="shared" si="6"/>
        <v>0.91750000000000009</v>
      </c>
      <c r="K36" s="5">
        <f t="shared" si="7"/>
        <v>5.2812180069270944</v>
      </c>
      <c r="L36" s="5">
        <f t="shared" si="8"/>
        <v>5.2375231390229979</v>
      </c>
      <c r="M36" s="5">
        <f t="shared" si="9"/>
        <v>5.3253569657627162</v>
      </c>
      <c r="N36" s="5">
        <f t="shared" si="10"/>
        <v>4.369486790409649E-2</v>
      </c>
      <c r="O36" s="5">
        <f t="shared" si="11"/>
        <v>4.41389588356218E-2</v>
      </c>
    </row>
    <row r="37" spans="1:15" ht="15.6" customHeight="1" x14ac:dyDescent="0.3">
      <c r="A37" s="3">
        <v>2</v>
      </c>
      <c r="B37" s="3">
        <v>200</v>
      </c>
      <c r="C37" s="3">
        <v>400</v>
      </c>
      <c r="D37" s="4">
        <v>0.12</v>
      </c>
      <c r="E37" s="3">
        <v>10</v>
      </c>
      <c r="F37" s="4">
        <v>0</v>
      </c>
      <c r="G37" s="4">
        <v>181.56</v>
      </c>
      <c r="H37" s="4">
        <v>15.8</v>
      </c>
      <c r="I37" s="4"/>
      <c r="J37" s="4">
        <f t="shared" si="6"/>
        <v>0.79</v>
      </c>
      <c r="K37" s="5">
        <f t="shared" si="7"/>
        <v>5.191310763128322</v>
      </c>
      <c r="L37" s="5">
        <f t="shared" si="8"/>
        <v>5.1544298259767629</v>
      </c>
      <c r="M37" s="5">
        <f t="shared" si="9"/>
        <v>5.228507583155185</v>
      </c>
      <c r="N37" s="5">
        <f t="shared" si="10"/>
        <v>3.6880937151559046E-2</v>
      </c>
      <c r="O37" s="5">
        <f t="shared" si="11"/>
        <v>3.7196820026863087E-2</v>
      </c>
    </row>
    <row r="38" spans="1:15" ht="15.6" customHeight="1" x14ac:dyDescent="0.3">
      <c r="A38" s="3">
        <v>2</v>
      </c>
      <c r="B38" s="3">
        <v>200</v>
      </c>
      <c r="C38" s="3">
        <v>400</v>
      </c>
      <c r="D38" s="4">
        <v>0.13</v>
      </c>
      <c r="E38" s="3">
        <v>10</v>
      </c>
      <c r="F38" s="4">
        <v>0</v>
      </c>
      <c r="G38" s="4">
        <v>186.48</v>
      </c>
      <c r="H38" s="4">
        <v>16.510000000000002</v>
      </c>
      <c r="I38" s="4"/>
      <c r="J38" s="4">
        <f t="shared" si="6"/>
        <v>0.82550000000000012</v>
      </c>
      <c r="K38" s="5">
        <f t="shared" si="7"/>
        <v>5.0751898987112343</v>
      </c>
      <c r="L38" s="5">
        <f t="shared" si="8"/>
        <v>5.0376711873312647</v>
      </c>
      <c r="M38" s="5">
        <f t="shared" si="9"/>
        <v>5.113035560914744</v>
      </c>
      <c r="N38" s="5">
        <f t="shared" si="10"/>
        <v>3.7518711379969538E-2</v>
      </c>
      <c r="O38" s="5">
        <f t="shared" si="11"/>
        <v>3.7845662203509711E-2</v>
      </c>
    </row>
    <row r="39" spans="1:15" ht="15.6" customHeight="1" x14ac:dyDescent="0.3">
      <c r="A39" s="3">
        <v>2</v>
      </c>
      <c r="B39" s="3">
        <v>200</v>
      </c>
      <c r="C39" s="3">
        <v>400</v>
      </c>
      <c r="D39" s="4">
        <v>0.14000000000000001</v>
      </c>
      <c r="E39" s="3">
        <v>10</v>
      </c>
      <c r="F39" s="4">
        <v>0</v>
      </c>
      <c r="G39" s="4">
        <v>191.96</v>
      </c>
      <c r="H39" s="4">
        <v>15.78</v>
      </c>
      <c r="I39" s="4"/>
      <c r="J39" s="4">
        <f t="shared" si="6"/>
        <v>0.78899999999999992</v>
      </c>
      <c r="K39" s="5">
        <f t="shared" si="7"/>
        <v>4.949405091232598</v>
      </c>
      <c r="L39" s="5">
        <f t="shared" si="8"/>
        <v>4.9145582723066443</v>
      </c>
      <c r="M39" s="5">
        <f t="shared" si="9"/>
        <v>4.9845337764043727</v>
      </c>
      <c r="N39" s="5">
        <f t="shared" si="10"/>
        <v>3.4846818925953649E-2</v>
      </c>
      <c r="O39" s="5">
        <f t="shared" si="11"/>
        <v>3.5128685171774698E-2</v>
      </c>
    </row>
    <row r="40" spans="1:15" ht="15.6" customHeight="1" x14ac:dyDescent="0.3">
      <c r="A40" s="3">
        <v>2</v>
      </c>
      <c r="B40" s="3">
        <v>200</v>
      </c>
      <c r="C40" s="3">
        <v>400</v>
      </c>
      <c r="D40" s="4">
        <v>0.15</v>
      </c>
      <c r="E40" s="3">
        <v>10</v>
      </c>
      <c r="F40" s="4">
        <v>0</v>
      </c>
      <c r="G40" s="4">
        <v>197</v>
      </c>
      <c r="H40" s="4">
        <v>14.2</v>
      </c>
      <c r="I40" s="4"/>
      <c r="J40" s="4">
        <f t="shared" si="6"/>
        <v>0.71</v>
      </c>
      <c r="K40" s="5">
        <f t="shared" si="7"/>
        <v>4.8368502422205069</v>
      </c>
      <c r="L40" s="5">
        <f t="shared" si="8"/>
        <v>4.8062797042272933</v>
      </c>
      <c r="M40" s="5">
        <f t="shared" si="9"/>
        <v>4.8676374964925246</v>
      </c>
      <c r="N40" s="5">
        <f t="shared" si="10"/>
        <v>3.057053799321352E-2</v>
      </c>
      <c r="O40" s="5">
        <f t="shared" si="11"/>
        <v>3.0787254272017783E-2</v>
      </c>
    </row>
    <row r="41" spans="1:15" ht="15.6" customHeight="1" x14ac:dyDescent="0.3">
      <c r="A41" s="3">
        <v>2</v>
      </c>
      <c r="B41" s="3">
        <v>200</v>
      </c>
      <c r="C41" s="3">
        <v>400</v>
      </c>
      <c r="D41" s="4">
        <v>0.16</v>
      </c>
      <c r="E41" s="3">
        <v>10</v>
      </c>
      <c r="F41" s="4">
        <v>0</v>
      </c>
      <c r="G41" s="4">
        <v>203.78</v>
      </c>
      <c r="H41" s="4">
        <v>14.45</v>
      </c>
      <c r="I41" s="4"/>
      <c r="J41" s="4">
        <f t="shared" si="6"/>
        <v>0.72249999999999992</v>
      </c>
      <c r="K41" s="5">
        <f t="shared" si="7"/>
        <v>4.6898969247899993</v>
      </c>
      <c r="L41" s="5">
        <f t="shared" si="8"/>
        <v>4.6598214815719432</v>
      </c>
      <c r="M41" s="5">
        <f t="shared" si="9"/>
        <v>4.7201820975109596</v>
      </c>
      <c r="N41" s="5">
        <f t="shared" si="10"/>
        <v>3.0075443218056108E-2</v>
      </c>
      <c r="O41" s="5">
        <f t="shared" si="11"/>
        <v>3.0285172720960318E-2</v>
      </c>
    </row>
    <row r="42" spans="1:15" ht="15.6" customHeight="1" x14ac:dyDescent="0.3">
      <c r="A42" s="3">
        <v>2</v>
      </c>
      <c r="B42" s="3">
        <v>200</v>
      </c>
      <c r="C42" s="3">
        <v>400</v>
      </c>
      <c r="D42" s="4">
        <v>0.17</v>
      </c>
      <c r="E42" s="3">
        <v>10</v>
      </c>
      <c r="F42" s="4">
        <v>0</v>
      </c>
      <c r="G42" s="4">
        <v>209.2</v>
      </c>
      <c r="H42" s="4">
        <v>14.43</v>
      </c>
      <c r="I42" s="4"/>
      <c r="J42" s="4">
        <f t="shared" si="6"/>
        <v>0.72150000000000003</v>
      </c>
      <c r="K42" s="5">
        <f t="shared" si="7"/>
        <v>4.5758957018840709</v>
      </c>
      <c r="L42" s="5">
        <f t="shared" si="8"/>
        <v>4.5466372532986483</v>
      </c>
      <c r="M42" s="5">
        <f t="shared" si="9"/>
        <v>4.6053526025640643</v>
      </c>
      <c r="N42" s="5">
        <f t="shared" si="10"/>
        <v>2.9258448585422592E-2</v>
      </c>
      <c r="O42" s="5">
        <f t="shared" si="11"/>
        <v>2.9456900679993403E-2</v>
      </c>
    </row>
    <row r="43" spans="1:15" ht="15.6" customHeight="1" x14ac:dyDescent="0.3">
      <c r="A43" s="3">
        <v>2</v>
      </c>
      <c r="B43" s="3">
        <v>200</v>
      </c>
      <c r="C43" s="3">
        <v>400</v>
      </c>
      <c r="D43" s="4">
        <v>0.18</v>
      </c>
      <c r="E43" s="3">
        <v>10</v>
      </c>
      <c r="F43" s="4">
        <v>0</v>
      </c>
      <c r="G43" s="4">
        <v>216.28</v>
      </c>
      <c r="H43" s="4">
        <v>15.1</v>
      </c>
      <c r="I43" s="4"/>
      <c r="J43" s="4">
        <f t="shared" si="6"/>
        <v>0.755</v>
      </c>
      <c r="K43" s="5">
        <f t="shared" si="7"/>
        <v>4.4313488948005659</v>
      </c>
      <c r="L43" s="5">
        <f t="shared" si="8"/>
        <v>4.4017354139899965</v>
      </c>
      <c r="M43" s="5">
        <f t="shared" si="9"/>
        <v>4.46116568985288</v>
      </c>
      <c r="N43" s="5">
        <f t="shared" si="10"/>
        <v>2.961348081056947E-2</v>
      </c>
      <c r="O43" s="5">
        <f t="shared" si="11"/>
        <v>2.9816795052314049E-2</v>
      </c>
    </row>
    <row r="44" spans="1:15" ht="15.6" customHeight="1" x14ac:dyDescent="0.3">
      <c r="A44" s="3">
        <v>2</v>
      </c>
      <c r="B44" s="3">
        <v>200</v>
      </c>
      <c r="C44" s="3">
        <v>400</v>
      </c>
      <c r="D44" s="4">
        <v>0.19</v>
      </c>
      <c r="E44" s="3">
        <v>10</v>
      </c>
      <c r="F44" s="4">
        <v>0</v>
      </c>
      <c r="G44" s="4">
        <v>221.16</v>
      </c>
      <c r="H44" s="4">
        <v>15.9</v>
      </c>
      <c r="I44" s="4"/>
      <c r="J44" s="4">
        <f t="shared" si="6"/>
        <v>0.79500000000000004</v>
      </c>
      <c r="K44" s="5">
        <f t="shared" si="7"/>
        <v>4.3344466911694504</v>
      </c>
      <c r="L44" s="5">
        <f t="shared" si="8"/>
        <v>4.3039554239043474</v>
      </c>
      <c r="M44" s="5">
        <f t="shared" si="9"/>
        <v>4.3651535482934332</v>
      </c>
      <c r="N44" s="5">
        <f t="shared" si="10"/>
        <v>3.0491267265102984E-2</v>
      </c>
      <c r="O44" s="5">
        <f t="shared" si="11"/>
        <v>3.07068571239828E-2</v>
      </c>
    </row>
    <row r="45" spans="1:15" ht="15.6" customHeight="1" x14ac:dyDescent="0.3">
      <c r="A45" s="3">
        <v>2</v>
      </c>
      <c r="B45" s="3">
        <v>200</v>
      </c>
      <c r="C45" s="3">
        <v>400</v>
      </c>
      <c r="D45" s="4">
        <v>0.2</v>
      </c>
      <c r="E45" s="3">
        <v>10</v>
      </c>
      <c r="F45" s="4">
        <v>0</v>
      </c>
      <c r="G45" s="4">
        <v>226.6</v>
      </c>
      <c r="H45" s="4">
        <v>18.07</v>
      </c>
      <c r="I45" s="4"/>
      <c r="J45" s="4">
        <f t="shared" si="6"/>
        <v>0.90349999999999997</v>
      </c>
      <c r="K45" s="5">
        <f t="shared" si="7"/>
        <v>4.2289134485626523</v>
      </c>
      <c r="L45" s="5">
        <f t="shared" si="8"/>
        <v>4.1951056301900884</v>
      </c>
      <c r="M45" s="5">
        <f t="shared" si="9"/>
        <v>4.2629865113323584</v>
      </c>
      <c r="N45" s="5">
        <f t="shared" si="10"/>
        <v>3.3807818372563858E-2</v>
      </c>
      <c r="O45" s="5">
        <f t="shared" si="11"/>
        <v>3.4073062769706119E-2</v>
      </c>
    </row>
    <row r="46" spans="1:15" ht="15.6" customHeight="1" x14ac:dyDescent="0.3">
      <c r="A46" s="13" t="s">
        <v>16</v>
      </c>
      <c r="B46" s="7"/>
      <c r="C46" s="7"/>
      <c r="D46" s="8"/>
      <c r="E46" s="7"/>
      <c r="F46" s="8"/>
      <c r="G46" s="8"/>
      <c r="H46" s="8"/>
      <c r="I46" s="8"/>
      <c r="J46" s="9"/>
      <c r="K46" s="10"/>
      <c r="L46" s="10"/>
      <c r="M46" s="10"/>
      <c r="N46" s="10"/>
      <c r="O46" s="10"/>
    </row>
    <row r="47" spans="1:15" ht="15.6" customHeight="1" x14ac:dyDescent="0.3">
      <c r="A47" s="1">
        <v>3</v>
      </c>
      <c r="B47" s="1">
        <v>200</v>
      </c>
      <c r="C47" s="1">
        <v>400</v>
      </c>
      <c r="D47" s="2">
        <v>0</v>
      </c>
      <c r="E47" s="1">
        <v>10</v>
      </c>
      <c r="F47" s="2">
        <v>0</v>
      </c>
      <c r="G47" s="2">
        <v>330</v>
      </c>
      <c r="H47" s="2">
        <v>29.05</v>
      </c>
      <c r="J47" s="4">
        <f t="shared" ref="J47:J67" si="12">H47/SQRT(C47)</f>
        <v>1.4525000000000001</v>
      </c>
      <c r="K47" s="5">
        <f t="shared" ref="K47:K67" si="13">-10*LOG10(G47/(B47*3))</f>
        <v>2.5963731050575611</v>
      </c>
      <c r="L47" s="5">
        <f t="shared" ref="L47:L67" si="14">-10*LOG10((G47+1.96*J47)/(B47*3))</f>
        <v>2.5590673391843684</v>
      </c>
      <c r="M47" s="5">
        <f t="shared" ref="M47:M67" si="15">-10*LOG10((G47-1.96*J47)/(B47*3))</f>
        <v>2.6340021049168838</v>
      </c>
      <c r="N47" s="5">
        <f t="shared" ref="N47:N67" si="16">K47-L47</f>
        <v>3.7305765873192787E-2</v>
      </c>
      <c r="O47" s="5">
        <f t="shared" ref="O47:O67" si="17">M47-K47</f>
        <v>3.7628999859322665E-2</v>
      </c>
    </row>
    <row r="48" spans="1:15" ht="15.6" customHeight="1" x14ac:dyDescent="0.3">
      <c r="A48" s="1">
        <v>3</v>
      </c>
      <c r="B48" s="1">
        <v>200</v>
      </c>
      <c r="C48" s="1">
        <v>400</v>
      </c>
      <c r="D48" s="2">
        <v>0.01</v>
      </c>
      <c r="E48" s="1">
        <v>10</v>
      </c>
      <c r="F48" s="2">
        <v>0</v>
      </c>
      <c r="G48" s="2">
        <v>330.72</v>
      </c>
      <c r="H48" s="2">
        <v>30.05</v>
      </c>
      <c r="J48" s="4">
        <f t="shared" si="12"/>
        <v>1.5024999999999999</v>
      </c>
      <c r="K48" s="5">
        <f t="shared" si="13"/>
        <v>2.5869079110043058</v>
      </c>
      <c r="L48" s="5">
        <f t="shared" si="14"/>
        <v>2.5484072709136769</v>
      </c>
      <c r="M48" s="5">
        <f t="shared" si="15"/>
        <v>2.6257529182438759</v>
      </c>
      <c r="N48" s="5">
        <f t="shared" si="16"/>
        <v>3.8500640090628924E-2</v>
      </c>
      <c r="O48" s="5">
        <f t="shared" si="17"/>
        <v>3.8845007239570073E-2</v>
      </c>
    </row>
    <row r="49" spans="1:15" ht="15.6" customHeight="1" x14ac:dyDescent="0.3">
      <c r="A49" s="1">
        <v>3</v>
      </c>
      <c r="B49" s="1">
        <v>200</v>
      </c>
      <c r="C49" s="1">
        <v>400</v>
      </c>
      <c r="D49" s="2">
        <v>0.02</v>
      </c>
      <c r="E49" s="1">
        <v>10</v>
      </c>
      <c r="F49" s="2">
        <v>0</v>
      </c>
      <c r="G49" s="2">
        <v>334.38</v>
      </c>
      <c r="H49" s="2">
        <v>32.35</v>
      </c>
      <c r="J49" s="4">
        <f t="shared" si="12"/>
        <v>1.6175000000000002</v>
      </c>
      <c r="K49" s="5">
        <f t="shared" si="13"/>
        <v>2.5391095694379979</v>
      </c>
      <c r="L49" s="5">
        <f t="shared" si="14"/>
        <v>2.4981275207661922</v>
      </c>
      <c r="M49" s="5">
        <f t="shared" si="15"/>
        <v>2.580482030836432</v>
      </c>
      <c r="N49" s="5">
        <f t="shared" si="16"/>
        <v>4.0982048671805771E-2</v>
      </c>
      <c r="O49" s="5">
        <f t="shared" si="17"/>
        <v>4.1372461398434091E-2</v>
      </c>
    </row>
    <row r="50" spans="1:15" ht="15.6" customHeight="1" x14ac:dyDescent="0.3">
      <c r="A50" s="1">
        <v>3</v>
      </c>
      <c r="B50" s="1">
        <v>200</v>
      </c>
      <c r="C50" s="1">
        <v>400</v>
      </c>
      <c r="D50" s="2">
        <v>0.03</v>
      </c>
      <c r="E50" s="1">
        <v>10</v>
      </c>
      <c r="F50" s="2">
        <v>0</v>
      </c>
      <c r="G50" s="2">
        <v>322.85000000000002</v>
      </c>
      <c r="H50" s="2">
        <v>37.96</v>
      </c>
      <c r="J50" s="4">
        <f t="shared" si="12"/>
        <v>1.8980000000000001</v>
      </c>
      <c r="K50" s="5">
        <f t="shared" si="13"/>
        <v>2.691504596417853</v>
      </c>
      <c r="L50" s="5">
        <f t="shared" si="14"/>
        <v>2.6417485775437424</v>
      </c>
      <c r="M50" s="5">
        <f t="shared" si="15"/>
        <v>2.7418372703704783</v>
      </c>
      <c r="N50" s="5">
        <f t="shared" si="16"/>
        <v>4.975601887411063E-2</v>
      </c>
      <c r="O50" s="5">
        <f t="shared" si="17"/>
        <v>5.0332673952625306E-2</v>
      </c>
    </row>
    <row r="51" spans="1:15" ht="15.6" customHeight="1" x14ac:dyDescent="0.3">
      <c r="A51" s="1">
        <v>3</v>
      </c>
      <c r="B51" s="1">
        <v>200</v>
      </c>
      <c r="C51" s="1">
        <v>400</v>
      </c>
      <c r="D51" s="2">
        <v>0.04</v>
      </c>
      <c r="E51" s="1">
        <v>10</v>
      </c>
      <c r="F51" s="2">
        <v>0</v>
      </c>
      <c r="G51" s="2">
        <v>312.95999999999998</v>
      </c>
      <c r="H51" s="2">
        <v>39.31</v>
      </c>
      <c r="J51" s="4">
        <f t="shared" si="12"/>
        <v>1.9655</v>
      </c>
      <c r="K51" s="5">
        <f t="shared" si="13"/>
        <v>2.8266241727613628</v>
      </c>
      <c r="L51" s="5">
        <f t="shared" si="14"/>
        <v>2.7734910631519276</v>
      </c>
      <c r="M51" s="5">
        <f t="shared" si="15"/>
        <v>2.8804153913087998</v>
      </c>
      <c r="N51" s="5">
        <f t="shared" si="16"/>
        <v>5.3133109609435181E-2</v>
      </c>
      <c r="O51" s="5">
        <f t="shared" si="17"/>
        <v>5.3791218547436959E-2</v>
      </c>
    </row>
    <row r="52" spans="1:15" ht="15.6" customHeight="1" x14ac:dyDescent="0.3">
      <c r="A52" s="1">
        <v>3</v>
      </c>
      <c r="B52" s="1">
        <v>200</v>
      </c>
      <c r="C52" s="1">
        <v>400</v>
      </c>
      <c r="D52" s="2">
        <v>0.05</v>
      </c>
      <c r="E52" s="1">
        <v>10</v>
      </c>
      <c r="F52" s="2">
        <v>0</v>
      </c>
      <c r="G52" s="2">
        <v>279.14999999999998</v>
      </c>
      <c r="H52" s="2">
        <v>41.8</v>
      </c>
      <c r="J52" s="4">
        <f t="shared" si="12"/>
        <v>2.09</v>
      </c>
      <c r="K52" s="5">
        <f t="shared" si="13"/>
        <v>3.3231361819719547</v>
      </c>
      <c r="L52" s="5">
        <f t="shared" si="14"/>
        <v>3.2598685160132588</v>
      </c>
      <c r="M52" s="5">
        <f t="shared" si="15"/>
        <v>3.3873391685898149</v>
      </c>
      <c r="N52" s="5">
        <f t="shared" si="16"/>
        <v>6.3267665958695929E-2</v>
      </c>
      <c r="O52" s="5">
        <f t="shared" si="17"/>
        <v>6.4202986617860169E-2</v>
      </c>
    </row>
    <row r="53" spans="1:15" ht="15.6" customHeight="1" x14ac:dyDescent="0.3">
      <c r="A53" s="1">
        <v>3</v>
      </c>
      <c r="B53" s="1">
        <v>200</v>
      </c>
      <c r="C53" s="1">
        <v>400</v>
      </c>
      <c r="D53" s="2">
        <v>0.06</v>
      </c>
      <c r="E53" s="1">
        <v>10</v>
      </c>
      <c r="F53" s="2">
        <v>0</v>
      </c>
      <c r="G53" s="2">
        <v>251.9</v>
      </c>
      <c r="H53" s="2">
        <v>45.63</v>
      </c>
      <c r="J53" s="4">
        <f t="shared" si="12"/>
        <v>2.2815000000000003</v>
      </c>
      <c r="K53" s="5">
        <f t="shared" si="13"/>
        <v>3.769230828855306</v>
      </c>
      <c r="L53" s="5">
        <f t="shared" si="14"/>
        <v>3.6928109942170191</v>
      </c>
      <c r="M53" s="5">
        <f t="shared" si="15"/>
        <v>3.8470194934622985</v>
      </c>
      <c r="N53" s="5">
        <f t="shared" si="16"/>
        <v>7.6419834638286943E-2</v>
      </c>
      <c r="O53" s="5">
        <f t="shared" si="17"/>
        <v>7.7788664606992519E-2</v>
      </c>
    </row>
    <row r="54" spans="1:15" ht="15.6" customHeight="1" x14ac:dyDescent="0.3">
      <c r="A54" s="1">
        <v>3</v>
      </c>
      <c r="B54" s="1">
        <v>200</v>
      </c>
      <c r="C54" s="1">
        <v>400</v>
      </c>
      <c r="D54" s="2">
        <v>7.0000000000000007E-2</v>
      </c>
      <c r="E54" s="1">
        <v>10</v>
      </c>
      <c r="F54" s="2">
        <v>0</v>
      </c>
      <c r="G54" s="2">
        <v>225.21</v>
      </c>
      <c r="H54" s="2">
        <v>41.49</v>
      </c>
      <c r="J54" s="4">
        <f t="shared" si="12"/>
        <v>2.0745</v>
      </c>
      <c r="K54" s="5">
        <f t="shared" si="13"/>
        <v>4.2556357979759554</v>
      </c>
      <c r="L54" s="5">
        <f t="shared" si="14"/>
        <v>4.1779261617824739</v>
      </c>
      <c r="M54" s="5">
        <f t="shared" si="15"/>
        <v>4.3347612891797658</v>
      </c>
      <c r="N54" s="5">
        <f t="shared" si="16"/>
        <v>7.7709636193481479E-2</v>
      </c>
      <c r="O54" s="5">
        <f t="shared" si="17"/>
        <v>7.9125491203810405E-2</v>
      </c>
    </row>
    <row r="55" spans="1:15" ht="15.6" customHeight="1" x14ac:dyDescent="0.3">
      <c r="A55" s="1">
        <v>3</v>
      </c>
      <c r="B55" s="1">
        <v>200</v>
      </c>
      <c r="C55" s="1">
        <v>400</v>
      </c>
      <c r="D55" s="2">
        <v>0.08</v>
      </c>
      <c r="E55" s="1">
        <v>10</v>
      </c>
      <c r="F55" s="2">
        <v>0</v>
      </c>
      <c r="G55" s="2">
        <v>203.22</v>
      </c>
      <c r="H55" s="2">
        <v>33.44</v>
      </c>
      <c r="J55" s="4">
        <f t="shared" si="12"/>
        <v>1.6719999999999999</v>
      </c>
      <c r="K55" s="5">
        <f t="shared" si="13"/>
        <v>4.7018480335536967</v>
      </c>
      <c r="L55" s="5">
        <f t="shared" si="14"/>
        <v>4.632372514218777</v>
      </c>
      <c r="M55" s="5">
        <f t="shared" si="15"/>
        <v>4.7724530693919425</v>
      </c>
      <c r="N55" s="5">
        <f t="shared" si="16"/>
        <v>6.9475519334919689E-2</v>
      </c>
      <c r="O55" s="5">
        <f t="shared" si="17"/>
        <v>7.0605035838245733E-2</v>
      </c>
    </row>
    <row r="56" spans="1:15" ht="15.6" customHeight="1" x14ac:dyDescent="0.3">
      <c r="A56" s="1">
        <v>3</v>
      </c>
      <c r="B56" s="1">
        <v>200</v>
      </c>
      <c r="C56" s="1">
        <v>400</v>
      </c>
      <c r="D56" s="2">
        <v>0.09</v>
      </c>
      <c r="E56" s="1">
        <v>10</v>
      </c>
      <c r="F56" s="2">
        <v>0</v>
      </c>
      <c r="G56" s="2">
        <v>193.04</v>
      </c>
      <c r="H56" s="2">
        <v>25.47</v>
      </c>
      <c r="J56" s="4">
        <f t="shared" si="12"/>
        <v>1.2734999999999999</v>
      </c>
      <c r="K56" s="5">
        <f t="shared" si="13"/>
        <v>4.9250394148291425</v>
      </c>
      <c r="L56" s="5">
        <f t="shared" si="14"/>
        <v>4.8692439036587709</v>
      </c>
      <c r="M56" s="5">
        <f t="shared" si="15"/>
        <v>4.9815610922198488</v>
      </c>
      <c r="N56" s="5">
        <f t="shared" si="16"/>
        <v>5.5795511170371626E-2</v>
      </c>
      <c r="O56" s="5">
        <f t="shared" si="17"/>
        <v>5.6521677390706238E-2</v>
      </c>
    </row>
    <row r="57" spans="1:15" ht="15.6" customHeight="1" x14ac:dyDescent="0.3">
      <c r="A57" s="1">
        <v>3</v>
      </c>
      <c r="B57" s="1">
        <v>200</v>
      </c>
      <c r="C57" s="1">
        <v>400</v>
      </c>
      <c r="D57" s="2">
        <v>0.1</v>
      </c>
      <c r="E57" s="1">
        <v>10</v>
      </c>
      <c r="F57" s="2">
        <v>0</v>
      </c>
      <c r="G57" s="2">
        <v>186.75</v>
      </c>
      <c r="H57" s="2">
        <v>19.89</v>
      </c>
      <c r="J57" s="4">
        <f t="shared" si="12"/>
        <v>0.99450000000000005</v>
      </c>
      <c r="K57" s="5">
        <f t="shared" si="13"/>
        <v>5.0689063989620724</v>
      </c>
      <c r="L57" s="5">
        <f t="shared" si="14"/>
        <v>5.0238114539834129</v>
      </c>
      <c r="M57" s="5">
        <f t="shared" si="15"/>
        <v>5.1144745044229936</v>
      </c>
      <c r="N57" s="5">
        <f t="shared" si="16"/>
        <v>4.5094944978659512E-2</v>
      </c>
      <c r="O57" s="5">
        <f t="shared" si="17"/>
        <v>4.556810546092116E-2</v>
      </c>
    </row>
    <row r="58" spans="1:15" ht="15.6" customHeight="1" x14ac:dyDescent="0.3">
      <c r="A58" s="1">
        <v>3</v>
      </c>
      <c r="B58" s="1">
        <v>200</v>
      </c>
      <c r="C58" s="1">
        <v>400</v>
      </c>
      <c r="D58" s="2">
        <v>0.11</v>
      </c>
      <c r="E58" s="1">
        <v>10</v>
      </c>
      <c r="F58" s="2">
        <v>0</v>
      </c>
      <c r="G58" s="2">
        <v>192.22</v>
      </c>
      <c r="H58" s="2">
        <v>19.82</v>
      </c>
      <c r="J58" s="4">
        <f t="shared" si="12"/>
        <v>0.99099999999999999</v>
      </c>
      <c r="K58" s="5">
        <f t="shared" si="13"/>
        <v>4.9435267746865046</v>
      </c>
      <c r="L58" s="5">
        <f t="shared" si="14"/>
        <v>4.899862082755237</v>
      </c>
      <c r="M58" s="5">
        <f t="shared" si="15"/>
        <v>4.9876349412586443</v>
      </c>
      <c r="N58" s="5">
        <f t="shared" si="16"/>
        <v>4.3664691931267541E-2</v>
      </c>
      <c r="O58" s="5">
        <f t="shared" si="17"/>
        <v>4.4108166572139673E-2</v>
      </c>
    </row>
    <row r="59" spans="1:15" ht="15.6" customHeight="1" x14ac:dyDescent="0.3">
      <c r="A59" s="1">
        <v>3</v>
      </c>
      <c r="B59" s="1">
        <v>200</v>
      </c>
      <c r="C59" s="1">
        <v>400</v>
      </c>
      <c r="D59" s="2">
        <v>0.12</v>
      </c>
      <c r="E59" s="1">
        <v>10</v>
      </c>
      <c r="F59" s="2">
        <v>0</v>
      </c>
      <c r="G59" s="2">
        <v>197.77</v>
      </c>
      <c r="H59" s="2">
        <v>19.68</v>
      </c>
      <c r="J59" s="4">
        <f t="shared" si="12"/>
        <v>0.98399999999999999</v>
      </c>
      <c r="K59" s="5">
        <f t="shared" si="13"/>
        <v>4.8199083684638566</v>
      </c>
      <c r="L59" s="5">
        <f t="shared" si="14"/>
        <v>4.7777614316194752</v>
      </c>
      <c r="M59" s="5">
        <f t="shared" si="15"/>
        <v>4.8624683399474637</v>
      </c>
      <c r="N59" s="5">
        <f t="shared" si="16"/>
        <v>4.2146936844381422E-2</v>
      </c>
      <c r="O59" s="5">
        <f t="shared" si="17"/>
        <v>4.2559971483607129E-2</v>
      </c>
    </row>
    <row r="60" spans="1:15" ht="15.6" customHeight="1" x14ac:dyDescent="0.3">
      <c r="A60" s="1">
        <v>3</v>
      </c>
      <c r="B60" s="1">
        <v>200</v>
      </c>
      <c r="C60" s="1">
        <v>400</v>
      </c>
      <c r="D60" s="2">
        <v>0.13</v>
      </c>
      <c r="E60" s="1">
        <v>10</v>
      </c>
      <c r="F60" s="2">
        <v>0</v>
      </c>
      <c r="G60" s="2">
        <v>206.6</v>
      </c>
      <c r="H60" s="2">
        <v>19.23</v>
      </c>
      <c r="J60" s="4">
        <f t="shared" si="12"/>
        <v>0.96150000000000002</v>
      </c>
      <c r="K60" s="5">
        <f t="shared" si="13"/>
        <v>4.630209332000419</v>
      </c>
      <c r="L60" s="5">
        <f t="shared" si="14"/>
        <v>4.5907739463083033</v>
      </c>
      <c r="M60" s="5">
        <f t="shared" si="15"/>
        <v>4.6700060879999601</v>
      </c>
      <c r="N60" s="5">
        <f t="shared" si="16"/>
        <v>3.9435385692115688E-2</v>
      </c>
      <c r="O60" s="5">
        <f t="shared" si="17"/>
        <v>3.9796755999541134E-2</v>
      </c>
    </row>
    <row r="61" spans="1:15" ht="15.6" customHeight="1" x14ac:dyDescent="0.3">
      <c r="A61" s="1">
        <v>3</v>
      </c>
      <c r="B61" s="1">
        <v>200</v>
      </c>
      <c r="C61" s="1">
        <v>400</v>
      </c>
      <c r="D61" s="2">
        <v>0.14000000000000001</v>
      </c>
      <c r="E61" s="1">
        <v>10</v>
      </c>
      <c r="F61" s="2">
        <v>0</v>
      </c>
      <c r="G61" s="2">
        <v>215.51</v>
      </c>
      <c r="H61" s="2">
        <v>18.53</v>
      </c>
      <c r="J61" s="4">
        <f t="shared" si="12"/>
        <v>0.9265000000000001</v>
      </c>
      <c r="K61" s="5">
        <f t="shared" si="13"/>
        <v>4.4468382347827253</v>
      </c>
      <c r="L61" s="5">
        <f t="shared" si="14"/>
        <v>4.410396836282203</v>
      </c>
      <c r="M61" s="5">
        <f t="shared" si="15"/>
        <v>4.4835880002620012</v>
      </c>
      <c r="N61" s="5">
        <f t="shared" si="16"/>
        <v>3.6441398500522304E-2</v>
      </c>
      <c r="O61" s="5">
        <f t="shared" si="17"/>
        <v>3.6749765479275887E-2</v>
      </c>
    </row>
    <row r="62" spans="1:15" ht="15.6" customHeight="1" x14ac:dyDescent="0.3">
      <c r="A62" s="1">
        <v>3</v>
      </c>
      <c r="B62" s="1">
        <v>200</v>
      </c>
      <c r="C62" s="1">
        <v>400</v>
      </c>
      <c r="D62" s="2">
        <v>0.15</v>
      </c>
      <c r="E62" s="1">
        <v>10</v>
      </c>
      <c r="F62" s="2">
        <v>0</v>
      </c>
      <c r="G62" s="2">
        <v>218.83</v>
      </c>
      <c r="H62" s="2">
        <v>17.690000000000001</v>
      </c>
      <c r="J62" s="4">
        <f t="shared" si="12"/>
        <v>0.88450000000000006</v>
      </c>
      <c r="K62" s="5">
        <f t="shared" si="13"/>
        <v>4.3804439002875366</v>
      </c>
      <c r="L62" s="5">
        <f t="shared" si="14"/>
        <v>4.3461736937006217</v>
      </c>
      <c r="M62" s="5">
        <f t="shared" si="15"/>
        <v>4.4149866856502227</v>
      </c>
      <c r="N62" s="5">
        <f t="shared" si="16"/>
        <v>3.4270206586914931E-2</v>
      </c>
      <c r="O62" s="5">
        <f t="shared" si="17"/>
        <v>3.4542785362686068E-2</v>
      </c>
    </row>
    <row r="63" spans="1:15" ht="15.6" customHeight="1" x14ac:dyDescent="0.3">
      <c r="A63" s="1">
        <v>3</v>
      </c>
      <c r="B63" s="1">
        <v>200</v>
      </c>
      <c r="C63" s="1">
        <v>400</v>
      </c>
      <c r="D63" s="2">
        <v>0.16</v>
      </c>
      <c r="E63" s="1">
        <v>10</v>
      </c>
      <c r="F63" s="2">
        <v>0</v>
      </c>
      <c r="G63" s="2">
        <v>223.71</v>
      </c>
      <c r="H63" s="2">
        <v>16.420000000000002</v>
      </c>
      <c r="J63" s="4">
        <f t="shared" si="12"/>
        <v>0.82100000000000006</v>
      </c>
      <c r="K63" s="5">
        <f t="shared" si="13"/>
        <v>4.2846585257332954</v>
      </c>
      <c r="L63" s="5">
        <f t="shared" si="14"/>
        <v>4.2535312688674622</v>
      </c>
      <c r="M63" s="5">
        <f t="shared" si="15"/>
        <v>4.3160104930173908</v>
      </c>
      <c r="N63" s="5">
        <f t="shared" si="16"/>
        <v>3.1127256865833175E-2</v>
      </c>
      <c r="O63" s="5">
        <f t="shared" si="17"/>
        <v>3.1351967284095394E-2</v>
      </c>
    </row>
    <row r="64" spans="1:15" ht="15.6" customHeight="1" x14ac:dyDescent="0.3">
      <c r="A64" s="1">
        <v>3</v>
      </c>
      <c r="B64" s="1">
        <v>200</v>
      </c>
      <c r="C64" s="1">
        <v>400</v>
      </c>
      <c r="D64" s="2">
        <v>0.17</v>
      </c>
      <c r="E64" s="1">
        <v>10</v>
      </c>
      <c r="F64" s="2">
        <v>0</v>
      </c>
      <c r="G64" s="2">
        <v>225.47</v>
      </c>
      <c r="H64" s="2">
        <v>16.52</v>
      </c>
      <c r="J64" s="4">
        <f t="shared" si="12"/>
        <v>0.82599999999999996</v>
      </c>
      <c r="K64" s="5">
        <f t="shared" si="13"/>
        <v>4.2506248554969535</v>
      </c>
      <c r="L64" s="5">
        <f t="shared" si="14"/>
        <v>4.2195522901121834</v>
      </c>
      <c r="M64" s="5">
        <f t="shared" si="15"/>
        <v>4.2819213395047875</v>
      </c>
      <c r="N64" s="5">
        <f t="shared" si="16"/>
        <v>3.1072565384770101E-2</v>
      </c>
      <c r="O64" s="5">
        <f t="shared" si="17"/>
        <v>3.1296484007834025E-2</v>
      </c>
    </row>
    <row r="65" spans="1:15" ht="15.6" customHeight="1" x14ac:dyDescent="0.3">
      <c r="A65" s="1">
        <v>3</v>
      </c>
      <c r="B65" s="1">
        <v>200</v>
      </c>
      <c r="C65" s="1">
        <v>400</v>
      </c>
      <c r="D65" s="2">
        <v>0.18</v>
      </c>
      <c r="E65" s="1">
        <v>10</v>
      </c>
      <c r="F65" s="2">
        <v>0</v>
      </c>
      <c r="G65" s="2">
        <v>231.22</v>
      </c>
      <c r="H65" s="2">
        <v>16.420000000000002</v>
      </c>
      <c r="J65" s="4">
        <f t="shared" si="12"/>
        <v>0.82100000000000006</v>
      </c>
      <c r="K65" s="5">
        <f t="shared" si="13"/>
        <v>4.1412585353319518</v>
      </c>
      <c r="L65" s="5">
        <f t="shared" si="14"/>
        <v>4.1111387907063435</v>
      </c>
      <c r="M65" s="5">
        <f t="shared" si="15"/>
        <v>4.1715886299457692</v>
      </c>
      <c r="N65" s="5">
        <f t="shared" si="16"/>
        <v>3.0119744625608291E-2</v>
      </c>
      <c r="O65" s="5">
        <f t="shared" si="17"/>
        <v>3.0330094613817415E-2</v>
      </c>
    </row>
    <row r="66" spans="1:15" ht="15.6" customHeight="1" x14ac:dyDescent="0.3">
      <c r="A66" s="1">
        <v>3</v>
      </c>
      <c r="B66" s="1">
        <v>200</v>
      </c>
      <c r="C66" s="1">
        <v>400</v>
      </c>
      <c r="D66" s="2">
        <v>0.19</v>
      </c>
      <c r="E66" s="1">
        <v>10</v>
      </c>
      <c r="F66" s="2">
        <v>0</v>
      </c>
      <c r="G66" s="2">
        <v>238.74</v>
      </c>
      <c r="H66" s="2">
        <v>14.67</v>
      </c>
      <c r="J66" s="4">
        <f t="shared" si="12"/>
        <v>0.73350000000000004</v>
      </c>
      <c r="K66" s="5">
        <f t="shared" si="13"/>
        <v>4.0022606085361172</v>
      </c>
      <c r="L66" s="5">
        <f t="shared" si="14"/>
        <v>3.9761864111330687</v>
      </c>
      <c r="M66" s="5">
        <f t="shared" si="15"/>
        <v>4.0284922963753473</v>
      </c>
      <c r="N66" s="5">
        <f t="shared" si="16"/>
        <v>2.6074197403048505E-2</v>
      </c>
      <c r="O66" s="5">
        <f t="shared" si="17"/>
        <v>2.6231687839230133E-2</v>
      </c>
    </row>
    <row r="67" spans="1:15" ht="15.6" customHeight="1" x14ac:dyDescent="0.3">
      <c r="A67" s="1">
        <v>3</v>
      </c>
      <c r="B67" s="1">
        <v>200</v>
      </c>
      <c r="C67" s="1">
        <v>400</v>
      </c>
      <c r="D67" s="2">
        <v>0.2</v>
      </c>
      <c r="E67" s="1">
        <v>10</v>
      </c>
      <c r="F67" s="2">
        <v>0</v>
      </c>
      <c r="G67" s="2">
        <v>243.5</v>
      </c>
      <c r="H67" s="2">
        <v>13.26</v>
      </c>
      <c r="J67" s="4">
        <f t="shared" si="12"/>
        <v>0.66300000000000003</v>
      </c>
      <c r="K67" s="5">
        <f t="shared" si="13"/>
        <v>3.9165228483299055</v>
      </c>
      <c r="L67" s="5">
        <f t="shared" si="14"/>
        <v>3.8934075943205815</v>
      </c>
      <c r="M67" s="5">
        <f t="shared" si="15"/>
        <v>3.9397617915345511</v>
      </c>
      <c r="N67" s="5">
        <f t="shared" si="16"/>
        <v>2.3115254009324016E-2</v>
      </c>
      <c r="O67" s="5">
        <f t="shared" si="17"/>
        <v>2.323894320464559E-2</v>
      </c>
    </row>
    <row r="68" spans="1:15" ht="15.6" customHeight="1" x14ac:dyDescent="0.3">
      <c r="A68" s="13" t="s">
        <v>17</v>
      </c>
      <c r="B68" s="7"/>
      <c r="C68" s="7"/>
      <c r="D68" s="8"/>
      <c r="E68" s="7"/>
      <c r="F68" s="8"/>
      <c r="G68" s="8"/>
      <c r="H68" s="8"/>
      <c r="I68" s="8"/>
      <c r="J68" s="9"/>
      <c r="K68" s="10"/>
      <c r="L68" s="10"/>
      <c r="M68" s="10"/>
      <c r="N68" s="10"/>
      <c r="O68" s="10"/>
    </row>
    <row r="69" spans="1:15" ht="15.6" customHeight="1" x14ac:dyDescent="0.3">
      <c r="A69" s="1">
        <v>4</v>
      </c>
      <c r="B69" s="1">
        <v>200</v>
      </c>
      <c r="C69" s="1">
        <v>400</v>
      </c>
      <c r="D69" s="2">
        <v>0</v>
      </c>
      <c r="E69" s="1">
        <v>10</v>
      </c>
      <c r="F69" s="2">
        <v>0</v>
      </c>
      <c r="G69" s="2">
        <v>263.38</v>
      </c>
      <c r="H69" s="2">
        <v>31.06</v>
      </c>
      <c r="J69" s="4">
        <f t="shared" ref="J69:J89" si="18">H69/SQRT(C69)</f>
        <v>1.5529999999999999</v>
      </c>
      <c r="K69" s="5">
        <f t="shared" ref="K69:K89" si="19">-10*LOG10(G69/(B69*3))</f>
        <v>3.5756845705254525</v>
      </c>
      <c r="L69" s="5">
        <f t="shared" ref="L69:L89" si="20">-10*LOG10((G69+1.96*J69)/(B69*3))</f>
        <v>3.5257810162925622</v>
      </c>
      <c r="M69" s="5">
        <f t="shared" ref="M69:M89" si="21">-10*LOG10((G69-1.96*J69)/(B69*3))</f>
        <v>3.6261682246488296</v>
      </c>
      <c r="N69" s="5">
        <f t="shared" ref="N69:N89" si="22">K69-L69</f>
        <v>4.9903554232890279E-2</v>
      </c>
      <c r="O69" s="5">
        <f t="shared" ref="O69:O89" si="23">M69-K69</f>
        <v>5.0483654123377075E-2</v>
      </c>
    </row>
    <row r="70" spans="1:15" ht="15.6" customHeight="1" x14ac:dyDescent="0.3">
      <c r="A70" s="3">
        <v>4</v>
      </c>
      <c r="B70" s="3">
        <v>200</v>
      </c>
      <c r="C70" s="3">
        <v>400</v>
      </c>
      <c r="D70" s="4">
        <v>0.01</v>
      </c>
      <c r="E70" s="3">
        <v>10</v>
      </c>
      <c r="F70" s="4">
        <v>0</v>
      </c>
      <c r="G70" s="4">
        <v>261.06</v>
      </c>
      <c r="H70" s="4">
        <v>32.549999999999997</v>
      </c>
      <c r="I70" s="4"/>
      <c r="J70" s="4">
        <f t="shared" si="18"/>
        <v>1.6274999999999999</v>
      </c>
      <c r="K70" s="5">
        <f t="shared" si="19"/>
        <v>3.6141091670728303</v>
      </c>
      <c r="L70" s="5">
        <f t="shared" si="20"/>
        <v>3.5613641875406206</v>
      </c>
      <c r="M70" s="5">
        <f t="shared" si="21"/>
        <v>3.6675026170754292</v>
      </c>
      <c r="N70" s="5">
        <f t="shared" si="22"/>
        <v>5.274497953220969E-2</v>
      </c>
      <c r="O70" s="5">
        <f t="shared" si="23"/>
        <v>5.3393450002598986E-2</v>
      </c>
    </row>
    <row r="71" spans="1:15" ht="15.6" customHeight="1" x14ac:dyDescent="0.3">
      <c r="A71" s="3">
        <v>4</v>
      </c>
      <c r="B71" s="3">
        <v>200</v>
      </c>
      <c r="C71" s="3">
        <v>400</v>
      </c>
      <c r="D71" s="4">
        <v>0.02</v>
      </c>
      <c r="E71" s="3">
        <v>10</v>
      </c>
      <c r="F71" s="4">
        <v>0</v>
      </c>
      <c r="G71" s="4">
        <v>251.69</v>
      </c>
      <c r="H71" s="4">
        <v>36.94</v>
      </c>
      <c r="I71" s="4"/>
      <c r="J71" s="4">
        <f t="shared" si="18"/>
        <v>1.847</v>
      </c>
      <c r="K71" s="5">
        <f t="shared" si="19"/>
        <v>3.7728528962707104</v>
      </c>
      <c r="L71" s="5">
        <f t="shared" si="20"/>
        <v>3.7108322064382788</v>
      </c>
      <c r="M71" s="5">
        <f t="shared" si="21"/>
        <v>3.8357721381756207</v>
      </c>
      <c r="N71" s="5">
        <f t="shared" si="22"/>
        <v>6.2020689832431586E-2</v>
      </c>
      <c r="O71" s="5">
        <f t="shared" si="23"/>
        <v>6.2919241904910272E-2</v>
      </c>
    </row>
    <row r="72" spans="1:15" ht="15.6" customHeight="1" x14ac:dyDescent="0.3">
      <c r="A72" s="3">
        <v>4</v>
      </c>
      <c r="B72" s="3">
        <v>200</v>
      </c>
      <c r="C72" s="3">
        <v>400</v>
      </c>
      <c r="D72" s="4">
        <v>0.03</v>
      </c>
      <c r="E72" s="3">
        <v>10</v>
      </c>
      <c r="F72" s="4">
        <v>0</v>
      </c>
      <c r="G72" s="4">
        <v>251</v>
      </c>
      <c r="H72" s="4">
        <v>39.090000000000003</v>
      </c>
      <c r="I72" s="4"/>
      <c r="J72" s="4">
        <f t="shared" si="18"/>
        <v>1.9545000000000001</v>
      </c>
      <c r="K72" s="5">
        <f t="shared" si="19"/>
        <v>3.7847752890260549</v>
      </c>
      <c r="L72" s="5">
        <f t="shared" si="20"/>
        <v>3.7189929867287654</v>
      </c>
      <c r="M72" s="5">
        <f t="shared" si="21"/>
        <v>3.8515693360438767</v>
      </c>
      <c r="N72" s="5">
        <f t="shared" si="22"/>
        <v>6.578230229728943E-2</v>
      </c>
      <c r="O72" s="5">
        <f t="shared" si="23"/>
        <v>6.6794047017821878E-2</v>
      </c>
    </row>
    <row r="73" spans="1:15" ht="15.6" customHeight="1" x14ac:dyDescent="0.3">
      <c r="A73" s="3">
        <v>4</v>
      </c>
      <c r="B73" s="3">
        <v>200</v>
      </c>
      <c r="C73" s="3">
        <v>400</v>
      </c>
      <c r="D73" s="4">
        <v>0.04</v>
      </c>
      <c r="E73" s="3">
        <v>10</v>
      </c>
      <c r="F73" s="4">
        <v>0</v>
      </c>
      <c r="G73" s="4">
        <v>236.02</v>
      </c>
      <c r="H73" s="4">
        <v>38.090000000000003</v>
      </c>
      <c r="I73" s="4"/>
      <c r="J73" s="4">
        <f t="shared" si="18"/>
        <v>1.9045000000000001</v>
      </c>
      <c r="K73" s="5">
        <f t="shared" si="19"/>
        <v>4.0520244435585608</v>
      </c>
      <c r="L73" s="5">
        <f t="shared" si="20"/>
        <v>3.9838752628969587</v>
      </c>
      <c r="M73" s="5">
        <f t="shared" si="21"/>
        <v>4.1212600876634173</v>
      </c>
      <c r="N73" s="5">
        <f t="shared" si="22"/>
        <v>6.8149180661602138E-2</v>
      </c>
      <c r="O73" s="5">
        <f t="shared" si="23"/>
        <v>6.9235644104856497E-2</v>
      </c>
    </row>
    <row r="74" spans="1:15" ht="15.6" customHeight="1" x14ac:dyDescent="0.3">
      <c r="A74" s="3">
        <v>4</v>
      </c>
      <c r="B74" s="3">
        <v>200</v>
      </c>
      <c r="C74" s="3">
        <v>400</v>
      </c>
      <c r="D74" s="4">
        <v>0.05</v>
      </c>
      <c r="E74" s="3">
        <v>10</v>
      </c>
      <c r="F74" s="4">
        <v>0</v>
      </c>
      <c r="G74" s="4">
        <v>209.25</v>
      </c>
      <c r="H74" s="4">
        <v>34.36</v>
      </c>
      <c r="I74" s="4"/>
      <c r="J74" s="4">
        <f t="shared" si="18"/>
        <v>1.718</v>
      </c>
      <c r="K74" s="5">
        <f t="shared" si="19"/>
        <v>4.5748578371834601</v>
      </c>
      <c r="L74" s="5">
        <f t="shared" si="20"/>
        <v>4.5055269243682297</v>
      </c>
      <c r="M74" s="5">
        <f t="shared" si="21"/>
        <v>4.6453135312731302</v>
      </c>
      <c r="N74" s="5">
        <f t="shared" si="22"/>
        <v>6.9330912815230405E-2</v>
      </c>
      <c r="O74" s="5">
        <f t="shared" si="23"/>
        <v>7.0455694089670118E-2</v>
      </c>
    </row>
    <row r="75" spans="1:15" ht="15.6" customHeight="1" x14ac:dyDescent="0.3">
      <c r="A75" s="3">
        <v>4</v>
      </c>
      <c r="B75" s="3">
        <v>200</v>
      </c>
      <c r="C75" s="3">
        <v>400</v>
      </c>
      <c r="D75" s="4">
        <v>0.06</v>
      </c>
      <c r="E75" s="3">
        <v>10</v>
      </c>
      <c r="F75" s="4">
        <v>0</v>
      </c>
      <c r="G75" s="4">
        <v>190.55</v>
      </c>
      <c r="H75" s="4">
        <v>26.49</v>
      </c>
      <c r="I75" s="4"/>
      <c r="J75" s="4">
        <f t="shared" si="18"/>
        <v>1.3245</v>
      </c>
      <c r="K75" s="5">
        <f t="shared" si="19"/>
        <v>4.9814229727545758</v>
      </c>
      <c r="L75" s="5">
        <f t="shared" si="20"/>
        <v>4.9226548695714909</v>
      </c>
      <c r="M75" s="5">
        <f t="shared" si="21"/>
        <v>5.0409972387870683</v>
      </c>
      <c r="N75" s="5">
        <f t="shared" si="22"/>
        <v>5.8768103183084897E-2</v>
      </c>
      <c r="O75" s="5">
        <f t="shared" si="23"/>
        <v>5.9574266032492496E-2</v>
      </c>
    </row>
    <row r="76" spans="1:15" ht="15.6" customHeight="1" x14ac:dyDescent="0.3">
      <c r="A76" s="3">
        <v>4</v>
      </c>
      <c r="B76" s="3">
        <v>200</v>
      </c>
      <c r="C76" s="3">
        <v>400</v>
      </c>
      <c r="D76" s="4">
        <v>7.0000000000000007E-2</v>
      </c>
      <c r="E76" s="3">
        <v>10</v>
      </c>
      <c r="F76" s="4">
        <v>0</v>
      </c>
      <c r="G76" s="4">
        <v>177.12</v>
      </c>
      <c r="H76" s="4">
        <v>24.12</v>
      </c>
      <c r="I76" s="4"/>
      <c r="J76" s="4">
        <f t="shared" si="18"/>
        <v>1.206</v>
      </c>
      <c r="K76" s="5">
        <f t="shared" si="19"/>
        <v>5.2988364684899603</v>
      </c>
      <c r="L76" s="5">
        <f t="shared" si="20"/>
        <v>5.2412609140500299</v>
      </c>
      <c r="M76" s="5">
        <f t="shared" si="21"/>
        <v>5.3571855838833535</v>
      </c>
      <c r="N76" s="5">
        <f t="shared" si="22"/>
        <v>5.7575554439930343E-2</v>
      </c>
      <c r="O76" s="5">
        <f t="shared" si="23"/>
        <v>5.8349115393393269E-2</v>
      </c>
    </row>
    <row r="77" spans="1:15" ht="15.6" customHeight="1" x14ac:dyDescent="0.3">
      <c r="A77" s="3">
        <v>4</v>
      </c>
      <c r="B77" s="3">
        <v>200</v>
      </c>
      <c r="C77" s="3">
        <v>400</v>
      </c>
      <c r="D77" s="4">
        <v>0.08</v>
      </c>
      <c r="E77" s="3">
        <v>10</v>
      </c>
      <c r="F77" s="4">
        <v>0</v>
      </c>
      <c r="G77" s="4">
        <v>167.21</v>
      </c>
      <c r="H77" s="4">
        <v>20.260000000000002</v>
      </c>
      <c r="I77" s="4"/>
      <c r="J77" s="4">
        <f t="shared" si="18"/>
        <v>1.0130000000000001</v>
      </c>
      <c r="K77" s="5">
        <f t="shared" si="19"/>
        <v>5.5488900350701282</v>
      </c>
      <c r="L77" s="5">
        <f t="shared" si="20"/>
        <v>5.4976249355580764</v>
      </c>
      <c r="M77" s="5">
        <f t="shared" si="21"/>
        <v>5.6007675152466287</v>
      </c>
      <c r="N77" s="5">
        <f t="shared" si="22"/>
        <v>5.1265099512051826E-2</v>
      </c>
      <c r="O77" s="5">
        <f t="shared" si="23"/>
        <v>5.1877480176500512E-2</v>
      </c>
    </row>
    <row r="78" spans="1:15" ht="15.6" customHeight="1" x14ac:dyDescent="0.3">
      <c r="A78" s="3">
        <v>4</v>
      </c>
      <c r="B78" s="3">
        <v>200</v>
      </c>
      <c r="C78" s="3">
        <v>400</v>
      </c>
      <c r="D78" s="4">
        <v>0.09</v>
      </c>
      <c r="E78" s="3">
        <v>10</v>
      </c>
      <c r="F78" s="4">
        <v>0</v>
      </c>
      <c r="G78" s="4">
        <v>164.03</v>
      </c>
      <c r="H78" s="4">
        <v>20.100000000000001</v>
      </c>
      <c r="I78" s="4"/>
      <c r="J78" s="4">
        <f t="shared" si="18"/>
        <v>1.0050000000000001</v>
      </c>
      <c r="K78" s="5">
        <f t="shared" si="19"/>
        <v>5.632279654887463</v>
      </c>
      <c r="L78" s="5">
        <f t="shared" si="20"/>
        <v>5.5804368559026756</v>
      </c>
      <c r="M78" s="5">
        <f t="shared" si="21"/>
        <v>5.6847487984535929</v>
      </c>
      <c r="N78" s="5">
        <f t="shared" si="22"/>
        <v>5.1842798984787386E-2</v>
      </c>
      <c r="O78" s="5">
        <f t="shared" si="23"/>
        <v>5.2469143566129972E-2</v>
      </c>
    </row>
    <row r="79" spans="1:15" ht="15.6" customHeight="1" x14ac:dyDescent="0.3">
      <c r="A79" s="3">
        <v>4</v>
      </c>
      <c r="B79" s="3">
        <v>200</v>
      </c>
      <c r="C79" s="3">
        <v>400</v>
      </c>
      <c r="D79" s="4">
        <v>0.1</v>
      </c>
      <c r="E79" s="3">
        <v>10</v>
      </c>
      <c r="F79" s="4">
        <v>0</v>
      </c>
      <c r="G79" s="4">
        <v>164.43</v>
      </c>
      <c r="H79" s="4">
        <v>19.079999999999998</v>
      </c>
      <c r="I79" s="4"/>
      <c r="J79" s="4">
        <f t="shared" si="18"/>
        <v>0.95399999999999996</v>
      </c>
      <c r="K79" s="5">
        <f t="shared" si="19"/>
        <v>5.6217019359178089</v>
      </c>
      <c r="L79" s="5">
        <f t="shared" si="20"/>
        <v>5.5725941900628033</v>
      </c>
      <c r="M79" s="5">
        <f t="shared" si="21"/>
        <v>5.6713713232483007</v>
      </c>
      <c r="N79" s="5">
        <f t="shared" si="22"/>
        <v>4.9107745855005547E-2</v>
      </c>
      <c r="O79" s="5">
        <f t="shared" si="23"/>
        <v>4.9669387330491865E-2</v>
      </c>
    </row>
    <row r="80" spans="1:15" ht="15.6" customHeight="1" x14ac:dyDescent="0.3">
      <c r="A80" s="3">
        <v>4</v>
      </c>
      <c r="B80" s="3">
        <v>200</v>
      </c>
      <c r="C80" s="3">
        <v>400</v>
      </c>
      <c r="D80" s="4">
        <v>0.11</v>
      </c>
      <c r="E80" s="3">
        <v>10</v>
      </c>
      <c r="F80" s="3">
        <v>0</v>
      </c>
      <c r="G80" s="4">
        <v>170.57</v>
      </c>
      <c r="H80" s="4">
        <v>18.440000000000001</v>
      </c>
      <c r="I80" s="4"/>
      <c r="J80" s="4">
        <f t="shared" si="18"/>
        <v>0.92200000000000004</v>
      </c>
      <c r="K80" s="5">
        <f t="shared" si="19"/>
        <v>5.4624860092700045</v>
      </c>
      <c r="L80" s="5">
        <f t="shared" si="20"/>
        <v>5.4167162994584386</v>
      </c>
      <c r="M80" s="5">
        <f t="shared" si="21"/>
        <v>5.5087432221708426</v>
      </c>
      <c r="N80" s="5">
        <f t="shared" si="22"/>
        <v>4.5769709811565917E-2</v>
      </c>
      <c r="O80" s="5">
        <f t="shared" si="23"/>
        <v>4.6257212900838063E-2</v>
      </c>
    </row>
    <row r="81" spans="1:15" ht="15.6" customHeight="1" x14ac:dyDescent="0.3">
      <c r="A81" s="3">
        <v>4</v>
      </c>
      <c r="B81" s="3">
        <v>200</v>
      </c>
      <c r="C81" s="3">
        <v>400</v>
      </c>
      <c r="D81" s="4">
        <v>0.12</v>
      </c>
      <c r="E81" s="3">
        <v>10</v>
      </c>
      <c r="F81" s="4">
        <v>0</v>
      </c>
      <c r="G81" s="4">
        <v>175.43</v>
      </c>
      <c r="H81" s="4">
        <v>20.88</v>
      </c>
      <c r="I81" s="4"/>
      <c r="J81" s="4">
        <f t="shared" si="18"/>
        <v>1.044</v>
      </c>
      <c r="K81" s="5">
        <f t="shared" si="19"/>
        <v>5.3404738700713583</v>
      </c>
      <c r="L81" s="5">
        <f t="shared" si="20"/>
        <v>5.2901103117611967</v>
      </c>
      <c r="M81" s="5">
        <f t="shared" si="21"/>
        <v>5.391428335565025</v>
      </c>
      <c r="N81" s="5">
        <f t="shared" si="22"/>
        <v>5.0363558310161594E-2</v>
      </c>
      <c r="O81" s="5">
        <f t="shared" si="23"/>
        <v>5.0954465493666667E-2</v>
      </c>
    </row>
    <row r="82" spans="1:15" ht="15.6" customHeight="1" x14ac:dyDescent="0.3">
      <c r="A82" s="3">
        <v>4</v>
      </c>
      <c r="B82" s="3">
        <v>200</v>
      </c>
      <c r="C82" s="3">
        <v>400</v>
      </c>
      <c r="D82" s="4">
        <v>0.13</v>
      </c>
      <c r="E82" s="3">
        <v>10</v>
      </c>
      <c r="F82" s="4">
        <v>0</v>
      </c>
      <c r="G82" s="4">
        <v>183.74</v>
      </c>
      <c r="H82" s="4">
        <v>19.45</v>
      </c>
      <c r="I82" s="4"/>
      <c r="J82" s="4">
        <f t="shared" si="18"/>
        <v>0.97249999999999992</v>
      </c>
      <c r="K82" s="5">
        <f t="shared" si="19"/>
        <v>5.1394753834441076</v>
      </c>
      <c r="L82" s="5">
        <f t="shared" si="20"/>
        <v>5.0946542025949544</v>
      </c>
      <c r="M82" s="5">
        <f t="shared" si="21"/>
        <v>5.184763967427056</v>
      </c>
      <c r="N82" s="5">
        <f t="shared" si="22"/>
        <v>4.4821180849153208E-2</v>
      </c>
      <c r="O82" s="5">
        <f t="shared" si="23"/>
        <v>4.5288583982948438E-2</v>
      </c>
    </row>
    <row r="83" spans="1:15" ht="15.6" customHeight="1" x14ac:dyDescent="0.3">
      <c r="A83" s="3">
        <v>4</v>
      </c>
      <c r="B83" s="3">
        <v>200</v>
      </c>
      <c r="C83" s="3">
        <v>400</v>
      </c>
      <c r="D83" s="4">
        <v>0.14000000000000001</v>
      </c>
      <c r="E83" s="3">
        <v>10</v>
      </c>
      <c r="F83" s="4">
        <v>0</v>
      </c>
      <c r="G83" s="4">
        <v>193.59</v>
      </c>
      <c r="H83" s="4">
        <v>20.190000000000001</v>
      </c>
      <c r="I83" s="4"/>
      <c r="J83" s="4">
        <f t="shared" si="18"/>
        <v>1.0095000000000001</v>
      </c>
      <c r="K83" s="5">
        <f t="shared" si="19"/>
        <v>4.9126833055685619</v>
      </c>
      <c r="L83" s="5">
        <f t="shared" si="20"/>
        <v>4.8685207914544657</v>
      </c>
      <c r="M83" s="5">
        <f t="shared" si="21"/>
        <v>4.957299516722359</v>
      </c>
      <c r="N83" s="5">
        <f t="shared" si="22"/>
        <v>4.4162514114096219E-2</v>
      </c>
      <c r="O83" s="5">
        <f t="shared" si="23"/>
        <v>4.4616211153797103E-2</v>
      </c>
    </row>
    <row r="84" spans="1:15" ht="15.6" customHeight="1" x14ac:dyDescent="0.3">
      <c r="A84" s="3">
        <v>4</v>
      </c>
      <c r="B84" s="3">
        <v>200</v>
      </c>
      <c r="C84" s="3">
        <v>400</v>
      </c>
      <c r="D84" s="4">
        <v>0.15</v>
      </c>
      <c r="E84" s="3">
        <v>10</v>
      </c>
      <c r="F84" s="4">
        <v>0</v>
      </c>
      <c r="G84" s="4">
        <v>201.16</v>
      </c>
      <c r="H84" s="4">
        <v>20.85</v>
      </c>
      <c r="I84" s="4"/>
      <c r="J84" s="4">
        <f t="shared" si="18"/>
        <v>1.0425</v>
      </c>
      <c r="K84" s="5">
        <f t="shared" si="19"/>
        <v>4.7460962343475419</v>
      </c>
      <c r="L84" s="5">
        <f t="shared" si="20"/>
        <v>4.7022049381825344</v>
      </c>
      <c r="M84" s="5">
        <f t="shared" si="21"/>
        <v>4.7904356437082445</v>
      </c>
      <c r="N84" s="5">
        <f t="shared" si="22"/>
        <v>4.3891296165007532E-2</v>
      </c>
      <c r="O84" s="5">
        <f t="shared" si="23"/>
        <v>4.4339409360702575E-2</v>
      </c>
    </row>
    <row r="85" spans="1:15" x14ac:dyDescent="0.3">
      <c r="A85" s="1">
        <v>4</v>
      </c>
      <c r="B85" s="1">
        <v>200</v>
      </c>
      <c r="C85" s="1">
        <v>400</v>
      </c>
      <c r="D85" s="2">
        <v>0.16</v>
      </c>
      <c r="E85" s="1">
        <v>10</v>
      </c>
      <c r="F85" s="2">
        <v>0</v>
      </c>
      <c r="G85" s="2">
        <v>208.36</v>
      </c>
      <c r="H85" s="2">
        <v>20.47</v>
      </c>
      <c r="J85" s="4">
        <f t="shared" si="18"/>
        <v>1.0234999999999999</v>
      </c>
      <c r="K85" s="5">
        <f t="shared" si="19"/>
        <v>4.5933690162298406</v>
      </c>
      <c r="L85" s="5">
        <f t="shared" si="20"/>
        <v>4.5517557737203669</v>
      </c>
      <c r="M85" s="5">
        <f t="shared" si="21"/>
        <v>4.6353848492924428</v>
      </c>
      <c r="N85" s="5">
        <f t="shared" si="22"/>
        <v>4.1613242509473736E-2</v>
      </c>
      <c r="O85" s="5">
        <f t="shared" si="23"/>
        <v>4.2015833062602148E-2</v>
      </c>
    </row>
    <row r="86" spans="1:15" x14ac:dyDescent="0.3">
      <c r="A86" s="1">
        <v>4</v>
      </c>
      <c r="B86" s="1">
        <v>200</v>
      </c>
      <c r="C86" s="1">
        <v>400</v>
      </c>
      <c r="D86" s="2">
        <v>0.17</v>
      </c>
      <c r="E86" s="1">
        <v>10</v>
      </c>
      <c r="F86" s="2">
        <v>0</v>
      </c>
      <c r="G86" s="2">
        <v>216.99</v>
      </c>
      <c r="H86" s="2">
        <v>18.57</v>
      </c>
      <c r="J86" s="4">
        <f t="shared" si="18"/>
        <v>0.92849999999999999</v>
      </c>
      <c r="K86" s="5">
        <f t="shared" si="19"/>
        <v>4.4171153056686503</v>
      </c>
      <c r="L86" s="5">
        <f t="shared" si="20"/>
        <v>4.3808436212303086</v>
      </c>
      <c r="M86" s="5">
        <f t="shared" si="21"/>
        <v>4.4536924794784358</v>
      </c>
      <c r="N86" s="5">
        <f t="shared" si="22"/>
        <v>3.6271684438341723E-2</v>
      </c>
      <c r="O86" s="5">
        <f t="shared" si="23"/>
        <v>3.6577173809785535E-2</v>
      </c>
    </row>
    <row r="87" spans="1:15" x14ac:dyDescent="0.3">
      <c r="A87" s="1">
        <v>4</v>
      </c>
      <c r="B87" s="1">
        <v>200</v>
      </c>
      <c r="C87" s="1">
        <v>400</v>
      </c>
      <c r="D87" s="2">
        <v>0.18</v>
      </c>
      <c r="E87" s="1">
        <v>10</v>
      </c>
      <c r="F87" s="2">
        <v>0</v>
      </c>
      <c r="G87" s="2">
        <v>222.46</v>
      </c>
      <c r="H87" s="2">
        <v>18.28</v>
      </c>
      <c r="J87" s="4">
        <f t="shared" si="18"/>
        <v>0.91400000000000003</v>
      </c>
      <c r="K87" s="5">
        <f t="shared" si="19"/>
        <v>4.3089931749802606</v>
      </c>
      <c r="L87" s="5">
        <f t="shared" si="20"/>
        <v>4.2741600989584825</v>
      </c>
      <c r="M87" s="5">
        <f t="shared" si="21"/>
        <v>4.3441078940669575</v>
      </c>
      <c r="N87" s="5">
        <f t="shared" si="22"/>
        <v>3.4833076021778098E-2</v>
      </c>
      <c r="O87" s="5">
        <f t="shared" si="23"/>
        <v>3.5114719086696944E-2</v>
      </c>
    </row>
    <row r="88" spans="1:15" x14ac:dyDescent="0.3">
      <c r="A88" s="1">
        <v>4</v>
      </c>
      <c r="B88" s="1">
        <v>200</v>
      </c>
      <c r="C88" s="1">
        <v>400</v>
      </c>
      <c r="D88" s="2">
        <v>0.19</v>
      </c>
      <c r="E88" s="1">
        <v>10</v>
      </c>
      <c r="F88" s="2">
        <v>0</v>
      </c>
      <c r="G88" s="2">
        <v>227.31</v>
      </c>
      <c r="H88" s="2">
        <v>21.07</v>
      </c>
      <c r="J88" s="4">
        <f t="shared" si="18"/>
        <v>1.0535000000000001</v>
      </c>
      <c r="K88" s="5">
        <f t="shared" si="19"/>
        <v>4.2153270841455264</v>
      </c>
      <c r="L88" s="5">
        <f t="shared" si="20"/>
        <v>4.1760543386103119</v>
      </c>
      <c r="M88" s="5">
        <f t="shared" si="21"/>
        <v>4.2549582118294182</v>
      </c>
      <c r="N88" s="5">
        <f t="shared" si="22"/>
        <v>3.9272745535214426E-2</v>
      </c>
      <c r="O88" s="5">
        <f t="shared" si="23"/>
        <v>3.9631127683891876E-2</v>
      </c>
    </row>
    <row r="89" spans="1:15" x14ac:dyDescent="0.3">
      <c r="A89" s="1">
        <v>4</v>
      </c>
      <c r="B89" s="1">
        <v>200</v>
      </c>
      <c r="C89" s="1">
        <v>400</v>
      </c>
      <c r="D89" s="2">
        <v>0.2</v>
      </c>
      <c r="E89" s="1">
        <v>10</v>
      </c>
      <c r="F89" s="2">
        <v>0</v>
      </c>
      <c r="G89" s="2">
        <v>231.17</v>
      </c>
      <c r="H89" s="2">
        <v>23.36</v>
      </c>
      <c r="J89" s="4">
        <f t="shared" si="18"/>
        <v>1.1679999999999999</v>
      </c>
      <c r="K89" s="5">
        <f t="shared" si="19"/>
        <v>4.1421977738180695</v>
      </c>
      <c r="L89" s="5">
        <f t="shared" si="20"/>
        <v>4.0994010857991707</v>
      </c>
      <c r="M89" s="5">
        <f t="shared" si="21"/>
        <v>4.1854203940531569</v>
      </c>
      <c r="N89" s="5">
        <f t="shared" si="22"/>
        <v>4.2796688018898799E-2</v>
      </c>
      <c r="O89" s="5">
        <f t="shared" si="23"/>
        <v>4.3222620235087383E-2</v>
      </c>
    </row>
    <row r="107" spans="10:15" ht="18.75" customHeight="1" x14ac:dyDescent="0.3">
      <c r="J107" s="4"/>
      <c r="K107" s="5"/>
      <c r="L107" s="5"/>
      <c r="M107" s="5"/>
      <c r="N107" s="5"/>
      <c r="O107" s="5"/>
    </row>
  </sheetData>
  <pageMargins left="0.7" right="0.7" top="0.75" bottom="0.75" header="0.3" footer="0.3"/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4DFE34-D1BC-4494-888A-6A3169B26BB8}">
  <sheetPr codeName="Sheet12">
    <outlinePr summaryBelow="0"/>
  </sheetPr>
  <dimension ref="A1:O87"/>
  <sheetViews>
    <sheetView topLeftCell="E1" zoomScale="115" zoomScaleNormal="115" workbookViewId="0">
      <pane ySplit="1" topLeftCell="A2" activePane="bottomLeft" state="frozen"/>
      <selection activeCell="A69" sqref="A69:H89"/>
      <selection pane="bottomLeft" activeCell="P7" sqref="P7"/>
    </sheetView>
  </sheetViews>
  <sheetFormatPr defaultRowHeight="14.4" x14ac:dyDescent="0.3"/>
  <cols>
    <col min="1" max="1" width="13.33203125" style="1" bestFit="1" customWidth="1"/>
    <col min="2" max="2" width="10.33203125" style="1" customWidth="1"/>
    <col min="3" max="3" width="10.77734375" style="1" customWidth="1"/>
    <col min="4" max="4" width="10.21875" style="2" customWidth="1"/>
    <col min="5" max="5" width="11.77734375" style="1" customWidth="1"/>
    <col min="6" max="6" width="9.44140625" style="2" customWidth="1"/>
    <col min="7" max="9" width="10" style="2" customWidth="1"/>
    <col min="10" max="10" width="9" style="2" customWidth="1"/>
    <col min="11" max="15" width="12.44140625" style="2" customWidth="1"/>
    <col min="16" max="16" width="12.44140625" customWidth="1"/>
  </cols>
  <sheetData>
    <row r="1" spans="1:15" s="6" customFormat="1" ht="15.6" customHeight="1" x14ac:dyDescent="0.3">
      <c r="A1" s="11" t="s">
        <v>14</v>
      </c>
      <c r="B1" s="11" t="s">
        <v>0</v>
      </c>
      <c r="C1" s="11" t="s">
        <v>1</v>
      </c>
      <c r="D1" s="12" t="s">
        <v>2</v>
      </c>
      <c r="E1" s="11" t="s">
        <v>3</v>
      </c>
      <c r="F1" s="12" t="s">
        <v>4</v>
      </c>
      <c r="G1" s="12" t="s">
        <v>5</v>
      </c>
      <c r="H1" s="12" t="s">
        <v>6</v>
      </c>
      <c r="I1" s="12"/>
      <c r="J1" s="12" t="s">
        <v>7</v>
      </c>
      <c r="K1" s="12" t="s">
        <v>8</v>
      </c>
      <c r="L1" s="12" t="s">
        <v>9</v>
      </c>
      <c r="M1" s="12" t="s">
        <v>10</v>
      </c>
      <c r="N1" s="12" t="s">
        <v>11</v>
      </c>
      <c r="O1" s="12" t="s">
        <v>12</v>
      </c>
    </row>
    <row r="2" spans="1:15" ht="15.6" customHeight="1" x14ac:dyDescent="0.3">
      <c r="A2" s="13" t="s">
        <v>13</v>
      </c>
      <c r="B2" s="7"/>
      <c r="C2" s="7"/>
      <c r="D2" s="8"/>
      <c r="E2" s="7"/>
      <c r="F2" s="8"/>
      <c r="G2" s="8"/>
      <c r="H2" s="8"/>
      <c r="I2" s="8"/>
      <c r="J2" s="9"/>
      <c r="K2" s="10"/>
      <c r="L2" s="10"/>
      <c r="M2" s="10"/>
      <c r="N2" s="10"/>
      <c r="O2" s="10"/>
    </row>
    <row r="3" spans="1:15" ht="15.6" customHeight="1" x14ac:dyDescent="0.3">
      <c r="A3" s="1">
        <v>1</v>
      </c>
      <c r="B3" s="1">
        <v>200</v>
      </c>
      <c r="C3" s="1">
        <v>400</v>
      </c>
      <c r="D3" s="2">
        <v>0.1</v>
      </c>
      <c r="E3" s="1">
        <v>5</v>
      </c>
      <c r="F3" s="2">
        <v>0</v>
      </c>
      <c r="G3" s="2">
        <v>250.83</v>
      </c>
      <c r="H3" s="2">
        <v>21.59</v>
      </c>
      <c r="J3" s="4">
        <f t="shared" ref="J3:J18" si="0">H3/SQRT(C3)</f>
        <v>1.0794999999999999</v>
      </c>
      <c r="K3" s="5">
        <f t="shared" ref="K3:K18" si="1">-10*LOG10(G3/(B3*3))</f>
        <v>3.7877177223101457</v>
      </c>
      <c r="L3" s="5">
        <f t="shared" ref="L3:L18" si="2">-10*LOG10((G3+1.96*J3)/(B3*3))</f>
        <v>3.7512374341681531</v>
      </c>
      <c r="M3" s="5">
        <f t="shared" ref="M3:M18" si="3">-10*LOG10((G3-1.96*J3)/(B3*3))</f>
        <v>3.8245070387447218</v>
      </c>
      <c r="N3" s="5">
        <f t="shared" ref="N3:N18" si="4">K3-L3</f>
        <v>3.6480288141992556E-2</v>
      </c>
      <c r="O3" s="5">
        <f t="shared" ref="O3:O18" si="5">M3-K3</f>
        <v>3.6789316434576058E-2</v>
      </c>
    </row>
    <row r="4" spans="1:15" ht="15.6" customHeight="1" x14ac:dyDescent="0.3">
      <c r="A4" s="3">
        <v>1</v>
      </c>
      <c r="B4" s="3">
        <v>200</v>
      </c>
      <c r="C4" s="3">
        <v>400</v>
      </c>
      <c r="D4" s="4">
        <v>0.1</v>
      </c>
      <c r="E4" s="3">
        <v>6</v>
      </c>
      <c r="F4" s="4">
        <v>0</v>
      </c>
      <c r="G4" s="4">
        <v>211.13</v>
      </c>
      <c r="H4" s="4">
        <v>26.48</v>
      </c>
      <c r="I4" s="4"/>
      <c r="J4" s="4">
        <f t="shared" si="0"/>
        <v>1.3240000000000001</v>
      </c>
      <c r="K4" s="5">
        <f t="shared" si="1"/>
        <v>4.5360130268108865</v>
      </c>
      <c r="L4" s="5">
        <f t="shared" si="2"/>
        <v>4.4829584334937893</v>
      </c>
      <c r="M4" s="5">
        <f t="shared" si="3"/>
        <v>4.5897237734562308</v>
      </c>
      <c r="N4" s="5">
        <f t="shared" si="4"/>
        <v>5.3054593317097165E-2</v>
      </c>
      <c r="O4" s="5">
        <f t="shared" si="5"/>
        <v>5.3710746645344365E-2</v>
      </c>
    </row>
    <row r="5" spans="1:15" ht="15.6" customHeight="1" x14ac:dyDescent="0.3">
      <c r="A5" s="3">
        <v>1</v>
      </c>
      <c r="B5" s="3">
        <v>200</v>
      </c>
      <c r="C5" s="3">
        <v>400</v>
      </c>
      <c r="D5" s="4">
        <v>0.1</v>
      </c>
      <c r="E5" s="3">
        <v>7</v>
      </c>
      <c r="F5" s="4">
        <v>0</v>
      </c>
      <c r="G5" s="4">
        <v>182.01</v>
      </c>
      <c r="H5" s="4">
        <v>28.49</v>
      </c>
      <c r="I5" s="4"/>
      <c r="J5" s="4">
        <f t="shared" si="0"/>
        <v>1.4244999999999999</v>
      </c>
      <c r="K5" s="5">
        <f t="shared" si="1"/>
        <v>5.1805600071993299</v>
      </c>
      <c r="L5" s="5">
        <f t="shared" si="2"/>
        <v>5.1144453636720266</v>
      </c>
      <c r="M5" s="5">
        <f t="shared" si="3"/>
        <v>5.247696723841397</v>
      </c>
      <c r="N5" s="5">
        <f t="shared" si="4"/>
        <v>6.611464352730323E-2</v>
      </c>
      <c r="O5" s="5">
        <f t="shared" si="5"/>
        <v>6.7136716642067107E-2</v>
      </c>
    </row>
    <row r="6" spans="1:15" ht="15.6" customHeight="1" x14ac:dyDescent="0.3">
      <c r="A6" s="3">
        <v>1</v>
      </c>
      <c r="B6" s="3">
        <v>200</v>
      </c>
      <c r="C6" s="3">
        <v>400</v>
      </c>
      <c r="D6" s="4">
        <v>0.1</v>
      </c>
      <c r="E6" s="3">
        <v>8</v>
      </c>
      <c r="F6" s="4">
        <v>0</v>
      </c>
      <c r="G6" s="4">
        <v>164.39</v>
      </c>
      <c r="H6" s="4">
        <v>27.65</v>
      </c>
      <c r="I6" s="4"/>
      <c r="J6" s="4">
        <f t="shared" si="0"/>
        <v>1.3824999999999998</v>
      </c>
      <c r="K6" s="5">
        <f t="shared" si="1"/>
        <v>5.6227585492236809</v>
      </c>
      <c r="L6" s="5">
        <f t="shared" si="2"/>
        <v>5.5517558019379232</v>
      </c>
      <c r="M6" s="5">
        <f t="shared" si="3"/>
        <v>5.6949414403631877</v>
      </c>
      <c r="N6" s="5">
        <f t="shared" si="4"/>
        <v>7.1002747285757728E-2</v>
      </c>
      <c r="O6" s="5">
        <f t="shared" si="5"/>
        <v>7.2182891139506822E-2</v>
      </c>
    </row>
    <row r="7" spans="1:15" ht="15.6" customHeight="1" x14ac:dyDescent="0.3">
      <c r="A7" s="3">
        <v>1</v>
      </c>
      <c r="B7" s="3">
        <v>200</v>
      </c>
      <c r="C7" s="3">
        <v>400</v>
      </c>
      <c r="D7" s="4">
        <v>0.1</v>
      </c>
      <c r="E7" s="3">
        <v>9</v>
      </c>
      <c r="F7" s="4">
        <v>0</v>
      </c>
      <c r="G7" s="4">
        <v>156.13999999999999</v>
      </c>
      <c r="H7" s="4">
        <v>25.57</v>
      </c>
      <c r="I7" s="4"/>
      <c r="J7" s="4">
        <f t="shared" si="0"/>
        <v>1.2785</v>
      </c>
      <c r="K7" s="5">
        <f t="shared" si="1"/>
        <v>5.8463707535497473</v>
      </c>
      <c r="L7" s="5">
        <f t="shared" si="2"/>
        <v>5.7772250708692132</v>
      </c>
      <c r="M7" s="5">
        <f t="shared" si="3"/>
        <v>5.9166351667961674</v>
      </c>
      <c r="N7" s="5">
        <f t="shared" si="4"/>
        <v>6.9145682680534115E-2</v>
      </c>
      <c r="O7" s="5">
        <f t="shared" si="5"/>
        <v>7.0264413246420077E-2</v>
      </c>
    </row>
    <row r="8" spans="1:15" ht="15.6" customHeight="1" x14ac:dyDescent="0.3">
      <c r="A8" s="3">
        <v>1</v>
      </c>
      <c r="B8" s="3">
        <v>200</v>
      </c>
      <c r="C8" s="3">
        <v>400</v>
      </c>
      <c r="D8" s="4">
        <v>0.1</v>
      </c>
      <c r="E8" s="3">
        <v>10</v>
      </c>
      <c r="F8" s="4">
        <v>0</v>
      </c>
      <c r="G8" s="4">
        <v>150.19999999999999</v>
      </c>
      <c r="H8" s="4">
        <v>24</v>
      </c>
      <c r="I8" s="4"/>
      <c r="J8" s="4">
        <f t="shared" si="0"/>
        <v>1.2</v>
      </c>
      <c r="K8" s="5">
        <f t="shared" si="1"/>
        <v>6.0148131771549407</v>
      </c>
      <c r="L8" s="5">
        <f t="shared" si="2"/>
        <v>5.9473334464402434</v>
      </c>
      <c r="M8" s="5">
        <f t="shared" si="3"/>
        <v>6.0833579635978019</v>
      </c>
      <c r="N8" s="5">
        <f t="shared" si="4"/>
        <v>6.7479730714697261E-2</v>
      </c>
      <c r="O8" s="5">
        <f t="shared" si="5"/>
        <v>6.8544786442861216E-2</v>
      </c>
    </row>
    <row r="9" spans="1:15" ht="15.6" customHeight="1" x14ac:dyDescent="0.3">
      <c r="A9" s="3">
        <v>1</v>
      </c>
      <c r="B9" s="3">
        <v>200</v>
      </c>
      <c r="C9" s="3">
        <v>400</v>
      </c>
      <c r="D9" s="4">
        <v>0.1</v>
      </c>
      <c r="E9" s="3">
        <v>11</v>
      </c>
      <c r="F9" s="4">
        <v>0</v>
      </c>
      <c r="G9" s="4">
        <v>145.13999999999999</v>
      </c>
      <c r="H9" s="4">
        <v>21.17</v>
      </c>
      <c r="I9" s="4"/>
      <c r="J9" s="4">
        <f t="shared" si="0"/>
        <v>1.0585</v>
      </c>
      <c r="K9" s="5">
        <f t="shared" si="1"/>
        <v>6.1636413163812032</v>
      </c>
      <c r="L9" s="5">
        <f t="shared" si="2"/>
        <v>6.1020019010984381</v>
      </c>
      <c r="M9" s="5">
        <f t="shared" si="3"/>
        <v>6.2261681906953301</v>
      </c>
      <c r="N9" s="5">
        <f t="shared" si="4"/>
        <v>6.1639415282765064E-2</v>
      </c>
      <c r="O9" s="5">
        <f t="shared" si="5"/>
        <v>6.2526874314126957E-2</v>
      </c>
    </row>
    <row r="10" spans="1:15" ht="15.6" customHeight="1" x14ac:dyDescent="0.3">
      <c r="A10" s="3">
        <v>1</v>
      </c>
      <c r="B10" s="3">
        <v>200</v>
      </c>
      <c r="C10" s="3">
        <v>400</v>
      </c>
      <c r="D10" s="4">
        <v>0.1</v>
      </c>
      <c r="E10" s="3">
        <v>12</v>
      </c>
      <c r="F10" s="4">
        <v>0</v>
      </c>
      <c r="G10" s="4">
        <v>140.27000000000001</v>
      </c>
      <c r="H10" s="4">
        <v>21.66</v>
      </c>
      <c r="I10" s="4"/>
      <c r="J10" s="4">
        <f t="shared" si="0"/>
        <v>1.083</v>
      </c>
      <c r="K10" s="5">
        <f t="shared" si="1"/>
        <v>6.3118645339389614</v>
      </c>
      <c r="L10" s="5">
        <f t="shared" si="2"/>
        <v>6.2466358634487555</v>
      </c>
      <c r="M10" s="5">
        <f t="shared" si="3"/>
        <v>6.3780878617998136</v>
      </c>
      <c r="N10" s="5">
        <f t="shared" si="4"/>
        <v>6.5228670490205864E-2</v>
      </c>
      <c r="O10" s="5">
        <f t="shared" si="5"/>
        <v>6.6223327860852166E-2</v>
      </c>
    </row>
    <row r="11" spans="1:15" ht="15.6" customHeight="1" x14ac:dyDescent="0.3">
      <c r="A11" s="3">
        <v>1</v>
      </c>
      <c r="B11" s="3">
        <v>200</v>
      </c>
      <c r="C11" s="3">
        <v>400</v>
      </c>
      <c r="D11" s="4">
        <v>0.1</v>
      </c>
      <c r="E11" s="3">
        <v>13</v>
      </c>
      <c r="F11" s="4">
        <v>0</v>
      </c>
      <c r="G11" s="4">
        <v>134.74</v>
      </c>
      <c r="H11" s="4">
        <v>17.2</v>
      </c>
      <c r="I11" s="4"/>
      <c r="J11" s="4">
        <f t="shared" si="0"/>
        <v>0.86</v>
      </c>
      <c r="K11" s="5">
        <f t="shared" si="1"/>
        <v>6.4865470736698407</v>
      </c>
      <c r="L11" s="5">
        <f t="shared" si="2"/>
        <v>6.4325537789645617</v>
      </c>
      <c r="M11" s="5">
        <f t="shared" si="3"/>
        <v>6.5412200949605452</v>
      </c>
      <c r="N11" s="5">
        <f t="shared" si="4"/>
        <v>5.3993294705279027E-2</v>
      </c>
      <c r="O11" s="5">
        <f t="shared" si="5"/>
        <v>5.4673021290704504E-2</v>
      </c>
    </row>
    <row r="12" spans="1:15" ht="15.6" customHeight="1" x14ac:dyDescent="0.3">
      <c r="A12" s="3">
        <v>1</v>
      </c>
      <c r="B12" s="3">
        <v>200</v>
      </c>
      <c r="C12" s="3">
        <v>400</v>
      </c>
      <c r="D12" s="4">
        <v>0.1</v>
      </c>
      <c r="E12" s="3">
        <v>14</v>
      </c>
      <c r="F12" s="4">
        <v>0</v>
      </c>
      <c r="G12" s="4">
        <v>134.81</v>
      </c>
      <c r="H12" s="4">
        <v>22.73</v>
      </c>
      <c r="I12" s="4"/>
      <c r="J12" s="4">
        <f t="shared" si="0"/>
        <v>1.1365000000000001</v>
      </c>
      <c r="K12" s="5">
        <f t="shared" si="1"/>
        <v>6.4842914168776584</v>
      </c>
      <c r="L12" s="5">
        <f t="shared" si="2"/>
        <v>6.413116965004356</v>
      </c>
      <c r="M12" s="5">
        <f t="shared" si="3"/>
        <v>6.5566517751451761</v>
      </c>
      <c r="N12" s="5">
        <f t="shared" si="4"/>
        <v>7.1174451873302402E-2</v>
      </c>
      <c r="O12" s="5">
        <f t="shared" si="5"/>
        <v>7.2360358267517633E-2</v>
      </c>
    </row>
    <row r="13" spans="1:15" ht="15.6" customHeight="1" x14ac:dyDescent="0.3">
      <c r="A13" s="3">
        <v>1</v>
      </c>
      <c r="B13" s="3">
        <v>200</v>
      </c>
      <c r="C13" s="3">
        <v>400</v>
      </c>
      <c r="D13" s="4">
        <v>0.1</v>
      </c>
      <c r="E13" s="3">
        <v>15</v>
      </c>
      <c r="F13" s="4">
        <v>0</v>
      </c>
      <c r="G13" s="4">
        <v>132.46</v>
      </c>
      <c r="H13" s="4">
        <v>17.89</v>
      </c>
      <c r="I13" s="4"/>
      <c r="J13" s="4">
        <f t="shared" si="0"/>
        <v>0.89450000000000007</v>
      </c>
      <c r="K13" s="5">
        <f t="shared" si="1"/>
        <v>6.5606649967277431</v>
      </c>
      <c r="L13" s="5">
        <f t="shared" si="2"/>
        <v>6.5035595444427017</v>
      </c>
      <c r="M13" s="5">
        <f t="shared" si="3"/>
        <v>6.6185313456884343</v>
      </c>
      <c r="N13" s="5">
        <f t="shared" si="4"/>
        <v>5.710545228504138E-2</v>
      </c>
      <c r="O13" s="5">
        <f t="shared" si="5"/>
        <v>5.7866348960691205E-2</v>
      </c>
    </row>
    <row r="14" spans="1:15" ht="15.6" customHeight="1" x14ac:dyDescent="0.3">
      <c r="A14" s="3">
        <v>1</v>
      </c>
      <c r="B14" s="3">
        <v>200</v>
      </c>
      <c r="C14" s="3">
        <v>400</v>
      </c>
      <c r="D14" s="4">
        <v>0.1</v>
      </c>
      <c r="E14" s="3">
        <v>16</v>
      </c>
      <c r="F14" s="4">
        <v>0</v>
      </c>
      <c r="G14" s="4">
        <v>132.16</v>
      </c>
      <c r="H14" s="4">
        <v>18.559999999999999</v>
      </c>
      <c r="I14" s="4"/>
      <c r="J14" s="4">
        <f t="shared" si="0"/>
        <v>0.92799999999999994</v>
      </c>
      <c r="K14" s="5">
        <f t="shared" si="1"/>
        <v>6.570512204073367</v>
      </c>
      <c r="L14" s="5">
        <f t="shared" si="2"/>
        <v>6.5111490740962488</v>
      </c>
      <c r="M14" s="5">
        <f t="shared" si="3"/>
        <v>6.6306980188633169</v>
      </c>
      <c r="N14" s="5">
        <f t="shared" si="4"/>
        <v>5.9363129977118234E-2</v>
      </c>
      <c r="O14" s="5">
        <f t="shared" si="5"/>
        <v>6.0185814789949887E-2</v>
      </c>
    </row>
    <row r="15" spans="1:15" ht="15.6" customHeight="1" x14ac:dyDescent="0.3">
      <c r="A15" s="3">
        <v>1</v>
      </c>
      <c r="B15" s="3">
        <v>200</v>
      </c>
      <c r="C15" s="3">
        <v>400</v>
      </c>
      <c r="D15" s="4">
        <v>0.1</v>
      </c>
      <c r="E15" s="3">
        <v>17</v>
      </c>
      <c r="F15" s="4">
        <v>0</v>
      </c>
      <c r="G15" s="4">
        <v>131.69</v>
      </c>
      <c r="H15" s="4">
        <v>18.48</v>
      </c>
      <c r="I15" s="4"/>
      <c r="J15" s="4">
        <f t="shared" si="0"/>
        <v>0.92400000000000004</v>
      </c>
      <c r="K15" s="5">
        <f t="shared" si="1"/>
        <v>6.5859845271652642</v>
      </c>
      <c r="L15" s="5">
        <f t="shared" si="2"/>
        <v>6.5266660142835384</v>
      </c>
      <c r="M15" s="5">
        <f t="shared" si="3"/>
        <v>6.6461244800951906</v>
      </c>
      <c r="N15" s="5">
        <f t="shared" si="4"/>
        <v>5.9318512881725738E-2</v>
      </c>
      <c r="O15" s="5">
        <f t="shared" si="5"/>
        <v>6.0139952929926466E-2</v>
      </c>
    </row>
    <row r="16" spans="1:15" ht="15.6" customHeight="1" x14ac:dyDescent="0.3">
      <c r="A16" s="3">
        <v>1</v>
      </c>
      <c r="B16" s="3">
        <v>200</v>
      </c>
      <c r="C16" s="3">
        <v>400</v>
      </c>
      <c r="D16" s="4">
        <v>0.1</v>
      </c>
      <c r="E16" s="3">
        <v>18</v>
      </c>
      <c r="F16" s="4">
        <v>0</v>
      </c>
      <c r="G16" s="4">
        <v>131.79</v>
      </c>
      <c r="H16" s="4">
        <v>16.97</v>
      </c>
      <c r="I16" s="4"/>
      <c r="J16" s="4">
        <f t="shared" si="0"/>
        <v>0.84849999999999992</v>
      </c>
      <c r="K16" s="5">
        <f t="shared" si="1"/>
        <v>6.5826879239866081</v>
      </c>
      <c r="L16" s="5">
        <f t="shared" si="2"/>
        <v>6.5282271402947956</v>
      </c>
      <c r="M16" s="5">
        <f t="shared" si="3"/>
        <v>6.6378403312910939</v>
      </c>
      <c r="N16" s="5">
        <f t="shared" si="4"/>
        <v>5.4460783691812509E-2</v>
      </c>
      <c r="O16" s="5">
        <f t="shared" si="5"/>
        <v>5.5152407304485784E-2</v>
      </c>
    </row>
    <row r="17" spans="1:15" ht="15.6" customHeight="1" x14ac:dyDescent="0.3">
      <c r="A17" s="3">
        <v>1</v>
      </c>
      <c r="B17" s="3">
        <v>200</v>
      </c>
      <c r="C17" s="3">
        <v>400</v>
      </c>
      <c r="D17" s="4">
        <v>0.1</v>
      </c>
      <c r="E17" s="3">
        <v>19</v>
      </c>
      <c r="F17" s="4">
        <v>0</v>
      </c>
      <c r="G17" s="4">
        <v>129.91</v>
      </c>
      <c r="H17" s="4">
        <v>17.62</v>
      </c>
      <c r="I17" s="4"/>
      <c r="J17" s="4">
        <f t="shared" si="0"/>
        <v>0.88100000000000001</v>
      </c>
      <c r="K17" s="5">
        <f t="shared" si="1"/>
        <v>6.6450866761190373</v>
      </c>
      <c r="L17" s="5">
        <f t="shared" si="2"/>
        <v>6.5877406600042949</v>
      </c>
      <c r="M17" s="5">
        <f t="shared" si="3"/>
        <v>6.7032000563256968</v>
      </c>
      <c r="N17" s="5">
        <f t="shared" si="4"/>
        <v>5.7346016114742326E-2</v>
      </c>
      <c r="O17" s="5">
        <f t="shared" si="5"/>
        <v>5.8113380206659571E-2</v>
      </c>
    </row>
    <row r="18" spans="1:15" ht="15.6" customHeight="1" x14ac:dyDescent="0.3">
      <c r="A18" s="3">
        <v>1</v>
      </c>
      <c r="B18" s="3">
        <v>200</v>
      </c>
      <c r="C18" s="3">
        <v>400</v>
      </c>
      <c r="D18" s="4">
        <v>0.1</v>
      </c>
      <c r="E18" s="3">
        <v>20</v>
      </c>
      <c r="F18" s="4">
        <v>0</v>
      </c>
      <c r="G18" s="4">
        <v>130.15</v>
      </c>
      <c r="H18" s="4">
        <v>21.2</v>
      </c>
      <c r="I18" s="4"/>
      <c r="J18" s="4">
        <f t="shared" si="0"/>
        <v>1.06</v>
      </c>
      <c r="K18" s="5">
        <f t="shared" si="1"/>
        <v>6.6370707793838912</v>
      </c>
      <c r="L18" s="5">
        <f t="shared" si="2"/>
        <v>6.5682913504768727</v>
      </c>
      <c r="M18" s="5">
        <f t="shared" si="3"/>
        <v>6.7069570236553595</v>
      </c>
      <c r="N18" s="5">
        <f t="shared" si="4"/>
        <v>6.8779428907018492E-2</v>
      </c>
      <c r="O18" s="5">
        <f t="shared" si="5"/>
        <v>6.9886244271468279E-2</v>
      </c>
    </row>
    <row r="19" spans="1:15" ht="15.6" customHeight="1" x14ac:dyDescent="0.3">
      <c r="A19" s="13" t="s">
        <v>15</v>
      </c>
      <c r="B19" s="7"/>
      <c r="C19" s="7"/>
      <c r="D19" s="8"/>
      <c r="E19" s="7"/>
      <c r="F19" s="8"/>
      <c r="G19" s="8"/>
      <c r="H19" s="8"/>
      <c r="I19" s="8"/>
      <c r="J19" s="9"/>
      <c r="K19" s="10"/>
      <c r="L19" s="10"/>
      <c r="M19" s="10"/>
      <c r="N19" s="10"/>
      <c r="O19" s="10"/>
    </row>
    <row r="20" spans="1:15" ht="15.6" customHeight="1" x14ac:dyDescent="0.3">
      <c r="A20" s="3">
        <v>2</v>
      </c>
      <c r="B20" s="3">
        <v>200</v>
      </c>
      <c r="C20" s="3">
        <v>400</v>
      </c>
      <c r="D20" s="4">
        <v>0.1</v>
      </c>
      <c r="E20" s="3">
        <v>5</v>
      </c>
      <c r="F20" s="4">
        <v>0</v>
      </c>
      <c r="G20" s="4">
        <v>253.45</v>
      </c>
      <c r="H20" s="4">
        <v>19.45</v>
      </c>
      <c r="I20" s="4"/>
      <c r="J20" s="4">
        <f t="shared" ref="J20:J35" si="6">H20/SQRT(C20)</f>
        <v>0.97249999999999992</v>
      </c>
      <c r="K20" s="5">
        <f t="shared" ref="K20:K35" si="7">-10*LOG10(G20/(B20*3))</f>
        <v>3.7425895482422304</v>
      </c>
      <c r="L20" s="5">
        <f t="shared" ref="L20:L35" si="8">-10*LOG10((G20+1.96*J20)/(B20*3))</f>
        <v>3.7100501355062372</v>
      </c>
      <c r="M20" s="5">
        <f t="shared" ref="M20:M35" si="9">-10*LOG10((G20-1.96*J20)/(B20*3))</f>
        <v>3.7753746033969096</v>
      </c>
      <c r="N20" s="5">
        <f t="shared" ref="N20:N35" si="10">K20-L20</f>
        <v>3.2539412735993256E-2</v>
      </c>
      <c r="O20" s="5">
        <f t="shared" ref="O20:O35" si="11">M20-K20</f>
        <v>3.278505515467911E-2</v>
      </c>
    </row>
    <row r="21" spans="1:15" ht="15.6" customHeight="1" x14ac:dyDescent="0.3">
      <c r="A21" s="3">
        <v>2</v>
      </c>
      <c r="B21" s="3">
        <v>200</v>
      </c>
      <c r="C21" s="3">
        <v>400</v>
      </c>
      <c r="D21" s="4">
        <v>0.1</v>
      </c>
      <c r="E21" s="3">
        <v>6</v>
      </c>
      <c r="F21" s="3">
        <v>0</v>
      </c>
      <c r="G21" s="4">
        <v>219.16</v>
      </c>
      <c r="H21" s="4">
        <v>20.28</v>
      </c>
      <c r="I21" s="4"/>
      <c r="J21" s="4">
        <f t="shared" si="6"/>
        <v>1.014</v>
      </c>
      <c r="K21" s="5">
        <f t="shared" si="7"/>
        <v>4.3738995862097143</v>
      </c>
      <c r="L21" s="5">
        <f t="shared" si="8"/>
        <v>4.3346933403641454</v>
      </c>
      <c r="M21" s="5">
        <f t="shared" si="9"/>
        <v>4.4134629960227407</v>
      </c>
      <c r="N21" s="5">
        <f t="shared" si="10"/>
        <v>3.9206245845568866E-2</v>
      </c>
      <c r="O21" s="5">
        <f t="shared" si="11"/>
        <v>3.9563409813026418E-2</v>
      </c>
    </row>
    <row r="22" spans="1:15" ht="15.6" customHeight="1" x14ac:dyDescent="0.3">
      <c r="A22" s="3">
        <v>2</v>
      </c>
      <c r="B22" s="3">
        <v>200</v>
      </c>
      <c r="C22" s="3">
        <v>400</v>
      </c>
      <c r="D22" s="4">
        <v>0.1</v>
      </c>
      <c r="E22" s="3">
        <v>7</v>
      </c>
      <c r="F22" s="4">
        <v>0</v>
      </c>
      <c r="G22" s="4">
        <v>198.48</v>
      </c>
      <c r="H22" s="4">
        <v>21.03</v>
      </c>
      <c r="I22" s="4"/>
      <c r="J22" s="4">
        <f t="shared" si="6"/>
        <v>1.0515000000000001</v>
      </c>
      <c r="K22" s="5">
        <f t="shared" si="7"/>
        <v>4.8043449911949097</v>
      </c>
      <c r="L22" s="5">
        <f t="shared" si="8"/>
        <v>4.7594820409532463</v>
      </c>
      <c r="M22" s="5">
        <f t="shared" si="9"/>
        <v>4.8496762206921469</v>
      </c>
      <c r="N22" s="5">
        <f t="shared" si="10"/>
        <v>4.4862950241663313E-2</v>
      </c>
      <c r="O22" s="5">
        <f t="shared" si="11"/>
        <v>4.5331229497237224E-2</v>
      </c>
    </row>
    <row r="23" spans="1:15" ht="15.6" customHeight="1" x14ac:dyDescent="0.3">
      <c r="A23" s="3">
        <v>2</v>
      </c>
      <c r="B23" s="3">
        <v>200</v>
      </c>
      <c r="C23" s="3">
        <v>400</v>
      </c>
      <c r="D23" s="4">
        <v>0.1</v>
      </c>
      <c r="E23" s="3">
        <v>8</v>
      </c>
      <c r="F23" s="4">
        <v>0</v>
      </c>
      <c r="G23" s="4">
        <v>186.97</v>
      </c>
      <c r="H23" s="4">
        <v>19.11</v>
      </c>
      <c r="I23" s="4"/>
      <c r="J23" s="4">
        <f t="shared" si="6"/>
        <v>0.95550000000000002</v>
      </c>
      <c r="K23" s="5">
        <f t="shared" si="7"/>
        <v>5.0637932234801397</v>
      </c>
      <c r="L23" s="5">
        <f t="shared" si="8"/>
        <v>5.0205086522380737</v>
      </c>
      <c r="M23" s="5">
        <f t="shared" si="9"/>
        <v>5.107513543088932</v>
      </c>
      <c r="N23" s="5">
        <f t="shared" si="10"/>
        <v>4.3284571242065972E-2</v>
      </c>
      <c r="O23" s="5">
        <f t="shared" si="11"/>
        <v>4.3720319608792302E-2</v>
      </c>
    </row>
    <row r="24" spans="1:15" ht="15.6" customHeight="1" x14ac:dyDescent="0.3">
      <c r="A24" s="3">
        <v>2</v>
      </c>
      <c r="B24" s="3">
        <v>200</v>
      </c>
      <c r="C24" s="3">
        <v>400</v>
      </c>
      <c r="D24" s="4">
        <v>0.1</v>
      </c>
      <c r="E24" s="3">
        <v>9</v>
      </c>
      <c r="F24" s="4">
        <v>0</v>
      </c>
      <c r="G24" s="4">
        <v>178.69</v>
      </c>
      <c r="H24" s="4">
        <v>18.989999999999998</v>
      </c>
      <c r="I24" s="4"/>
      <c r="J24" s="4">
        <f t="shared" si="6"/>
        <v>0.9494999999999999</v>
      </c>
      <c r="K24" s="5">
        <f t="shared" si="7"/>
        <v>5.2605100155085074</v>
      </c>
      <c r="L24" s="5">
        <f t="shared" si="8"/>
        <v>5.2155130412248605</v>
      </c>
      <c r="M24" s="5">
        <f t="shared" si="9"/>
        <v>5.3059780858272472</v>
      </c>
      <c r="N24" s="5">
        <f t="shared" si="10"/>
        <v>4.4996974283646907E-2</v>
      </c>
      <c r="O24" s="5">
        <f t="shared" si="11"/>
        <v>4.5468070318739784E-2</v>
      </c>
    </row>
    <row r="25" spans="1:15" ht="15.6" customHeight="1" x14ac:dyDescent="0.3">
      <c r="A25" s="3">
        <v>2</v>
      </c>
      <c r="B25" s="3">
        <v>200</v>
      </c>
      <c r="C25" s="3">
        <v>400</v>
      </c>
      <c r="D25" s="4">
        <v>0.1</v>
      </c>
      <c r="E25" s="3">
        <v>10</v>
      </c>
      <c r="F25" s="4">
        <v>0</v>
      </c>
      <c r="G25" s="4">
        <v>174.02</v>
      </c>
      <c r="H25" s="4">
        <v>19.29</v>
      </c>
      <c r="I25" s="4"/>
      <c r="J25" s="4">
        <f t="shared" si="6"/>
        <v>0.96449999999999991</v>
      </c>
      <c r="K25" s="5">
        <f t="shared" si="7"/>
        <v>5.3755208606376081</v>
      </c>
      <c r="L25" s="5">
        <f t="shared" si="8"/>
        <v>5.3285968486324897</v>
      </c>
      <c r="M25" s="5">
        <f t="shared" si="9"/>
        <v>5.4229574131756291</v>
      </c>
      <c r="N25" s="5">
        <f t="shared" si="10"/>
        <v>4.6924012005118421E-2</v>
      </c>
      <c r="O25" s="5">
        <f t="shared" si="11"/>
        <v>4.7436552538020926E-2</v>
      </c>
    </row>
    <row r="26" spans="1:15" ht="15.6" customHeight="1" x14ac:dyDescent="0.3">
      <c r="A26" s="3">
        <v>2</v>
      </c>
      <c r="B26" s="3">
        <v>200</v>
      </c>
      <c r="C26" s="3">
        <v>400</v>
      </c>
      <c r="D26" s="4">
        <v>0.1</v>
      </c>
      <c r="E26" s="3">
        <v>11</v>
      </c>
      <c r="F26" s="4">
        <v>0</v>
      </c>
      <c r="G26" s="4">
        <v>170.03</v>
      </c>
      <c r="H26" s="4">
        <v>19.21</v>
      </c>
      <c r="I26" s="4"/>
      <c r="J26" s="4">
        <f t="shared" si="6"/>
        <v>0.96050000000000002</v>
      </c>
      <c r="K26" s="5">
        <f t="shared" si="7"/>
        <v>5.4762569556425618</v>
      </c>
      <c r="L26" s="5">
        <f t="shared" si="8"/>
        <v>5.4284359228484194</v>
      </c>
      <c r="M26" s="5">
        <f t="shared" si="9"/>
        <v>5.5246104235689284</v>
      </c>
      <c r="N26" s="5">
        <f t="shared" si="10"/>
        <v>4.7821032794142404E-2</v>
      </c>
      <c r="O26" s="5">
        <f t="shared" si="11"/>
        <v>4.8353467926366633E-2</v>
      </c>
    </row>
    <row r="27" spans="1:15" ht="15.6" customHeight="1" x14ac:dyDescent="0.3">
      <c r="A27" s="3">
        <v>2</v>
      </c>
      <c r="B27" s="3">
        <v>200</v>
      </c>
      <c r="C27" s="3">
        <v>400</v>
      </c>
      <c r="D27" s="4">
        <v>0.1</v>
      </c>
      <c r="E27" s="3">
        <v>12</v>
      </c>
      <c r="F27" s="4">
        <v>0</v>
      </c>
      <c r="G27" s="4">
        <v>166.09</v>
      </c>
      <c r="H27" s="4">
        <v>16.57</v>
      </c>
      <c r="I27" s="4"/>
      <c r="J27" s="4">
        <f t="shared" si="6"/>
        <v>0.82850000000000001</v>
      </c>
      <c r="K27" s="5">
        <f t="shared" si="7"/>
        <v>5.578077652865967</v>
      </c>
      <c r="L27" s="5">
        <f t="shared" si="8"/>
        <v>5.5358229587063068</v>
      </c>
      <c r="M27" s="5">
        <f t="shared" si="9"/>
        <v>5.6207475067999022</v>
      </c>
      <c r="N27" s="5">
        <f t="shared" si="10"/>
        <v>4.2254694159660211E-2</v>
      </c>
      <c r="O27" s="5">
        <f t="shared" si="11"/>
        <v>4.2669853933935187E-2</v>
      </c>
    </row>
    <row r="28" spans="1:15" ht="15.6" customHeight="1" x14ac:dyDescent="0.3">
      <c r="A28" s="3">
        <v>2</v>
      </c>
      <c r="B28" s="3">
        <v>200</v>
      </c>
      <c r="C28" s="3">
        <v>400</v>
      </c>
      <c r="D28" s="4">
        <v>0.1</v>
      </c>
      <c r="E28" s="3">
        <v>13</v>
      </c>
      <c r="F28" s="3">
        <v>0</v>
      </c>
      <c r="G28" s="4">
        <v>161.72</v>
      </c>
      <c r="H28" s="4">
        <v>18.21</v>
      </c>
      <c r="I28" s="4"/>
      <c r="J28" s="4">
        <f t="shared" si="6"/>
        <v>0.91050000000000009</v>
      </c>
      <c r="K28" s="5">
        <f t="shared" si="7"/>
        <v>5.6938751772200691</v>
      </c>
      <c r="L28" s="5">
        <f t="shared" si="8"/>
        <v>5.646213279997637</v>
      </c>
      <c r="M28" s="5">
        <f t="shared" si="9"/>
        <v>5.7420659522363815</v>
      </c>
      <c r="N28" s="5">
        <f t="shared" si="10"/>
        <v>4.7661897222432081E-2</v>
      </c>
      <c r="O28" s="5">
        <f t="shared" si="11"/>
        <v>4.8190775016312415E-2</v>
      </c>
    </row>
    <row r="29" spans="1:15" ht="15.6" customHeight="1" x14ac:dyDescent="0.3">
      <c r="A29" s="3">
        <v>2</v>
      </c>
      <c r="B29" s="3">
        <v>200</v>
      </c>
      <c r="C29" s="3">
        <v>400</v>
      </c>
      <c r="D29" s="4">
        <v>0.1</v>
      </c>
      <c r="E29" s="3">
        <v>14</v>
      </c>
      <c r="F29" s="4">
        <v>0</v>
      </c>
      <c r="G29" s="4">
        <v>159.88</v>
      </c>
      <c r="H29" s="4">
        <v>18.84</v>
      </c>
      <c r="I29" s="4"/>
      <c r="J29" s="4">
        <f t="shared" si="6"/>
        <v>0.94199999999999995</v>
      </c>
      <c r="K29" s="5">
        <f t="shared" si="7"/>
        <v>5.7435711079557636</v>
      </c>
      <c r="L29" s="5">
        <f t="shared" si="8"/>
        <v>5.6937054587254545</v>
      </c>
      <c r="M29" s="5">
        <f t="shared" si="9"/>
        <v>5.7940159710397445</v>
      </c>
      <c r="N29" s="5">
        <f t="shared" si="10"/>
        <v>4.9865649230309117E-2</v>
      </c>
      <c r="O29" s="5">
        <f t="shared" si="11"/>
        <v>5.0444863083980884E-2</v>
      </c>
    </row>
    <row r="30" spans="1:15" ht="15.6" customHeight="1" x14ac:dyDescent="0.3">
      <c r="A30" s="3">
        <v>2</v>
      </c>
      <c r="B30" s="3">
        <v>200</v>
      </c>
      <c r="C30" s="3">
        <v>400</v>
      </c>
      <c r="D30" s="4">
        <v>0.1</v>
      </c>
      <c r="E30" s="3">
        <v>15</v>
      </c>
      <c r="F30" s="3">
        <v>0</v>
      </c>
      <c r="G30" s="4">
        <v>155.81</v>
      </c>
      <c r="H30" s="4">
        <v>18.09</v>
      </c>
      <c r="I30" s="4"/>
      <c r="J30" s="4">
        <f t="shared" si="6"/>
        <v>0.90449999999999997</v>
      </c>
      <c r="K30" s="5">
        <f t="shared" si="7"/>
        <v>5.8555592281443207</v>
      </c>
      <c r="L30" s="5">
        <f t="shared" si="8"/>
        <v>5.8064238231831009</v>
      </c>
      <c r="M30" s="5">
        <f t="shared" si="9"/>
        <v>5.9052569110582374</v>
      </c>
      <c r="N30" s="5">
        <f t="shared" si="10"/>
        <v>4.913540496121982E-2</v>
      </c>
      <c r="O30" s="5">
        <f t="shared" si="11"/>
        <v>4.969768291391663E-2</v>
      </c>
    </row>
    <row r="31" spans="1:15" ht="15.6" customHeight="1" x14ac:dyDescent="0.3">
      <c r="A31" s="3">
        <v>2</v>
      </c>
      <c r="B31" s="3">
        <v>200</v>
      </c>
      <c r="C31" s="3">
        <v>400</v>
      </c>
      <c r="D31" s="4">
        <v>0.1</v>
      </c>
      <c r="E31" s="3">
        <v>16</v>
      </c>
      <c r="F31" s="3">
        <v>0</v>
      </c>
      <c r="G31" s="4">
        <v>153.24</v>
      </c>
      <c r="H31" s="4">
        <v>18.02</v>
      </c>
      <c r="I31" s="4"/>
      <c r="J31" s="4">
        <f t="shared" si="6"/>
        <v>0.90100000000000002</v>
      </c>
      <c r="K31" s="5">
        <f t="shared" si="7"/>
        <v>5.9277910707260348</v>
      </c>
      <c r="L31" s="5">
        <f t="shared" si="8"/>
        <v>5.8780285321109771</v>
      </c>
      <c r="M31" s="5">
        <f t="shared" si="9"/>
        <v>5.9781304164302664</v>
      </c>
      <c r="N31" s="5">
        <f t="shared" si="10"/>
        <v>4.976253861505775E-2</v>
      </c>
      <c r="O31" s="5">
        <f t="shared" si="11"/>
        <v>5.0339345704231597E-2</v>
      </c>
    </row>
    <row r="32" spans="1:15" ht="15.6" customHeight="1" x14ac:dyDescent="0.3">
      <c r="A32" s="3">
        <v>2</v>
      </c>
      <c r="B32" s="3">
        <v>200</v>
      </c>
      <c r="C32" s="3">
        <v>400</v>
      </c>
      <c r="D32" s="4">
        <v>0.1</v>
      </c>
      <c r="E32" s="3">
        <v>17</v>
      </c>
      <c r="F32" s="4">
        <v>0</v>
      </c>
      <c r="G32" s="4">
        <v>153.6</v>
      </c>
      <c r="H32" s="4">
        <v>17.11</v>
      </c>
      <c r="I32" s="4"/>
      <c r="J32" s="4">
        <f t="shared" si="6"/>
        <v>0.85549999999999993</v>
      </c>
      <c r="K32" s="5">
        <f t="shared" si="7"/>
        <v>5.9176003468815042</v>
      </c>
      <c r="L32" s="5">
        <f t="shared" si="8"/>
        <v>5.8704473394570797</v>
      </c>
      <c r="M32" s="5">
        <f t="shared" si="9"/>
        <v>5.9652709372174515</v>
      </c>
      <c r="N32" s="5">
        <f t="shared" si="10"/>
        <v>4.7153007424424409E-2</v>
      </c>
      <c r="O32" s="5">
        <f t="shared" si="11"/>
        <v>4.7670590335947338E-2</v>
      </c>
    </row>
    <row r="33" spans="1:15" ht="15.6" customHeight="1" x14ac:dyDescent="0.3">
      <c r="A33" s="3">
        <v>2</v>
      </c>
      <c r="B33" s="3">
        <v>200</v>
      </c>
      <c r="C33" s="3">
        <v>400</v>
      </c>
      <c r="D33" s="4">
        <v>0.1</v>
      </c>
      <c r="E33" s="3">
        <v>18</v>
      </c>
      <c r="F33" s="4">
        <v>0</v>
      </c>
      <c r="G33" s="4">
        <v>152.94</v>
      </c>
      <c r="H33" s="4">
        <v>16.78</v>
      </c>
      <c r="I33" s="4"/>
      <c r="J33" s="4">
        <f t="shared" si="6"/>
        <v>0.83900000000000008</v>
      </c>
      <c r="K33" s="5">
        <f t="shared" si="7"/>
        <v>5.9363016453073243</v>
      </c>
      <c r="L33" s="5">
        <f t="shared" si="8"/>
        <v>5.8898547336426033</v>
      </c>
      <c r="M33" s="5">
        <f t="shared" si="9"/>
        <v>5.9832506721037992</v>
      </c>
      <c r="N33" s="5">
        <f t="shared" si="10"/>
        <v>4.6446911664721036E-2</v>
      </c>
      <c r="O33" s="5">
        <f t="shared" si="11"/>
        <v>4.6949026796474946E-2</v>
      </c>
    </row>
    <row r="34" spans="1:15" ht="15.6" customHeight="1" x14ac:dyDescent="0.3">
      <c r="A34" s="3">
        <v>2</v>
      </c>
      <c r="B34" s="3">
        <v>200</v>
      </c>
      <c r="C34" s="3">
        <v>400</v>
      </c>
      <c r="D34" s="4">
        <v>0.1</v>
      </c>
      <c r="E34" s="3">
        <v>19</v>
      </c>
      <c r="F34" s="4">
        <v>0</v>
      </c>
      <c r="G34" s="4">
        <v>151.16</v>
      </c>
      <c r="H34" s="4">
        <v>17.079999999999998</v>
      </c>
      <c r="I34" s="4"/>
      <c r="J34" s="4">
        <f t="shared" si="6"/>
        <v>0.85399999999999987</v>
      </c>
      <c r="K34" s="5">
        <f t="shared" si="7"/>
        <v>5.9871436713866677</v>
      </c>
      <c r="L34" s="5">
        <f t="shared" si="8"/>
        <v>5.9393172534477268</v>
      </c>
      <c r="M34" s="5">
        <f t="shared" si="9"/>
        <v>6.035502645048993</v>
      </c>
      <c r="N34" s="5">
        <f t="shared" si="10"/>
        <v>4.7826417938940935E-2</v>
      </c>
      <c r="O34" s="5">
        <f t="shared" si="11"/>
        <v>4.8358973662325333E-2</v>
      </c>
    </row>
    <row r="35" spans="1:15" ht="15.6" customHeight="1" x14ac:dyDescent="0.3">
      <c r="A35" s="3">
        <v>2</v>
      </c>
      <c r="B35" s="3">
        <v>200</v>
      </c>
      <c r="C35" s="3">
        <v>400</v>
      </c>
      <c r="D35" s="4">
        <v>0.1</v>
      </c>
      <c r="E35" s="3">
        <v>20</v>
      </c>
      <c r="F35" s="4">
        <v>0</v>
      </c>
      <c r="G35" s="4">
        <v>151.52000000000001</v>
      </c>
      <c r="H35" s="4">
        <v>17.93</v>
      </c>
      <c r="I35" s="4"/>
      <c r="J35" s="4">
        <f t="shared" si="6"/>
        <v>0.89649999999999996</v>
      </c>
      <c r="K35" s="5">
        <f t="shared" si="7"/>
        <v>5.9768128872444546</v>
      </c>
      <c r="L35" s="5">
        <f t="shared" si="8"/>
        <v>5.9267386207953834</v>
      </c>
      <c r="M35" s="5">
        <f t="shared" si="9"/>
        <v>6.0274712525057614</v>
      </c>
      <c r="N35" s="5">
        <f t="shared" si="10"/>
        <v>5.0074266449071203E-2</v>
      </c>
      <c r="O35" s="5">
        <f t="shared" si="11"/>
        <v>5.0658365261306848E-2</v>
      </c>
    </row>
    <row r="36" spans="1:15" ht="15.6" customHeight="1" x14ac:dyDescent="0.3">
      <c r="A36" s="13" t="s">
        <v>16</v>
      </c>
      <c r="B36" s="7"/>
      <c r="C36" s="7"/>
      <c r="D36" s="8"/>
      <c r="E36" s="7"/>
      <c r="F36" s="8"/>
      <c r="G36" s="8"/>
      <c r="H36" s="8"/>
      <c r="I36" s="8"/>
      <c r="J36" s="9"/>
      <c r="K36" s="10"/>
      <c r="L36" s="10"/>
      <c r="M36" s="10"/>
      <c r="N36" s="10"/>
      <c r="O36" s="10"/>
    </row>
    <row r="37" spans="1:15" ht="15.6" customHeight="1" x14ac:dyDescent="0.3">
      <c r="A37" s="1">
        <v>3</v>
      </c>
      <c r="B37" s="1">
        <v>200</v>
      </c>
      <c r="C37" s="1">
        <v>400</v>
      </c>
      <c r="D37" s="2">
        <v>0.1</v>
      </c>
      <c r="E37" s="1">
        <v>5</v>
      </c>
      <c r="F37" s="2">
        <v>0</v>
      </c>
      <c r="G37" s="2">
        <v>269.95</v>
      </c>
      <c r="H37" s="2">
        <v>21.84</v>
      </c>
      <c r="J37" s="4">
        <f t="shared" ref="J37:J52" si="12">H37/SQRT(C37)</f>
        <v>1.0920000000000001</v>
      </c>
      <c r="K37" s="5">
        <f t="shared" ref="K37:K52" si="13">-10*LOG10(G37/(B37*3))</f>
        <v>3.4686791857638237</v>
      </c>
      <c r="L37" s="5">
        <f t="shared" ref="L37:L52" si="14">-10*LOG10((G37+1.96*J37)/(B37*3))</f>
        <v>3.4343815897273955</v>
      </c>
      <c r="M37" s="5">
        <f t="shared" ref="M37:M52" si="15">-10*LOG10((G37-1.96*J37)/(B37*3))</f>
        <v>3.5032497981890249</v>
      </c>
      <c r="N37" s="5">
        <f t="shared" ref="N37:N52" si="16">K37-L37</f>
        <v>3.4297596036428235E-2</v>
      </c>
      <c r="O37" s="5">
        <f t="shared" ref="O37:O52" si="17">M37-K37</f>
        <v>3.4570612425201208E-2</v>
      </c>
    </row>
    <row r="38" spans="1:15" ht="15.6" customHeight="1" x14ac:dyDescent="0.3">
      <c r="A38" s="1">
        <v>3</v>
      </c>
      <c r="B38" s="1">
        <v>200</v>
      </c>
      <c r="C38" s="1">
        <v>400</v>
      </c>
      <c r="D38" s="2">
        <v>0.1</v>
      </c>
      <c r="E38" s="1">
        <v>6</v>
      </c>
      <c r="F38" s="2">
        <v>0</v>
      </c>
      <c r="G38" s="2">
        <v>231.83</v>
      </c>
      <c r="H38" s="2">
        <v>21.92</v>
      </c>
      <c r="J38" s="4">
        <f t="shared" si="12"/>
        <v>1.0960000000000001</v>
      </c>
      <c r="K38" s="5">
        <f t="shared" si="13"/>
        <v>4.1298161516926104</v>
      </c>
      <c r="L38" s="5">
        <f t="shared" si="14"/>
        <v>4.0897592901685655</v>
      </c>
      <c r="M38" s="5">
        <f t="shared" si="15"/>
        <v>4.1702459171265369</v>
      </c>
      <c r="N38" s="5">
        <f t="shared" si="16"/>
        <v>4.0056861524044862E-2</v>
      </c>
      <c r="O38" s="5">
        <f t="shared" si="17"/>
        <v>4.0429765433926512E-2</v>
      </c>
    </row>
    <row r="39" spans="1:15" ht="15.6" customHeight="1" x14ac:dyDescent="0.3">
      <c r="A39" s="1">
        <v>3</v>
      </c>
      <c r="B39" s="1">
        <v>200</v>
      </c>
      <c r="C39" s="1">
        <v>400</v>
      </c>
      <c r="D39" s="2">
        <v>0.1</v>
      </c>
      <c r="E39" s="1">
        <v>7</v>
      </c>
      <c r="F39" s="2">
        <v>0</v>
      </c>
      <c r="G39" s="2">
        <v>214.92</v>
      </c>
      <c r="H39" s="2">
        <v>23.41</v>
      </c>
      <c r="J39" s="4">
        <f t="shared" si="12"/>
        <v>1.1705000000000001</v>
      </c>
      <c r="K39" s="5">
        <f t="shared" si="13"/>
        <v>4.4587441848698735</v>
      </c>
      <c r="L39" s="5">
        <f t="shared" si="14"/>
        <v>4.4126307728111342</v>
      </c>
      <c r="M39" s="5">
        <f t="shared" si="15"/>
        <v>4.5053524888570626</v>
      </c>
      <c r="N39" s="5">
        <f t="shared" si="16"/>
        <v>4.61134120587392E-2</v>
      </c>
      <c r="O39" s="5">
        <f t="shared" si="17"/>
        <v>4.6608303987189181E-2</v>
      </c>
    </row>
    <row r="40" spans="1:15" ht="15.6" customHeight="1" x14ac:dyDescent="0.3">
      <c r="A40" s="1">
        <v>3</v>
      </c>
      <c r="B40" s="1">
        <v>200</v>
      </c>
      <c r="C40" s="1">
        <v>400</v>
      </c>
      <c r="D40" s="2">
        <v>0.1</v>
      </c>
      <c r="E40" s="1">
        <v>8</v>
      </c>
      <c r="F40" s="2">
        <v>0</v>
      </c>
      <c r="G40" s="2">
        <v>204.01</v>
      </c>
      <c r="H40" s="2">
        <v>22.85</v>
      </c>
      <c r="J40" s="4">
        <f t="shared" si="12"/>
        <v>1.1425000000000001</v>
      </c>
      <c r="K40" s="5">
        <f t="shared" si="13"/>
        <v>4.6849979453432438</v>
      </c>
      <c r="L40" s="5">
        <f t="shared" si="14"/>
        <v>4.6375876713333293</v>
      </c>
      <c r="M40" s="5">
        <f t="shared" si="15"/>
        <v>4.7329314969280576</v>
      </c>
      <c r="N40" s="5">
        <f t="shared" si="16"/>
        <v>4.7410274009914488E-2</v>
      </c>
      <c r="O40" s="5">
        <f t="shared" si="17"/>
        <v>4.7933551584813827E-2</v>
      </c>
    </row>
    <row r="41" spans="1:15" ht="15.6" customHeight="1" x14ac:dyDescent="0.3">
      <c r="A41" s="1">
        <v>3</v>
      </c>
      <c r="B41" s="1">
        <v>200</v>
      </c>
      <c r="C41" s="1">
        <v>400</v>
      </c>
      <c r="D41" s="2">
        <v>0.1</v>
      </c>
      <c r="E41" s="1">
        <v>9</v>
      </c>
      <c r="F41" s="2">
        <v>0</v>
      </c>
      <c r="G41" s="2">
        <v>195.03</v>
      </c>
      <c r="H41" s="2">
        <v>23.24</v>
      </c>
      <c r="J41" s="4">
        <f t="shared" si="12"/>
        <v>1.1619999999999999</v>
      </c>
      <c r="K41" s="5">
        <f t="shared" si="13"/>
        <v>4.8804982962450074</v>
      </c>
      <c r="L41" s="5">
        <f t="shared" si="14"/>
        <v>4.8300761250972686</v>
      </c>
      <c r="M41" s="5">
        <f t="shared" si="15"/>
        <v>4.9315127588691992</v>
      </c>
      <c r="N41" s="5">
        <f t="shared" si="16"/>
        <v>5.0422171147738837E-2</v>
      </c>
      <c r="O41" s="5">
        <f t="shared" si="17"/>
        <v>5.1014462624191736E-2</v>
      </c>
    </row>
    <row r="42" spans="1:15" ht="15.6" customHeight="1" x14ac:dyDescent="0.3">
      <c r="A42" s="1">
        <v>3</v>
      </c>
      <c r="B42" s="1">
        <v>200</v>
      </c>
      <c r="C42" s="1">
        <v>400</v>
      </c>
      <c r="D42" s="2">
        <v>0.1</v>
      </c>
      <c r="E42" s="1">
        <v>10</v>
      </c>
      <c r="F42" s="2">
        <v>0</v>
      </c>
      <c r="G42" s="2">
        <v>190.16</v>
      </c>
      <c r="H42" s="2">
        <v>22.86</v>
      </c>
      <c r="J42" s="4">
        <f t="shared" si="12"/>
        <v>1.143</v>
      </c>
      <c r="K42" s="5">
        <f t="shared" si="13"/>
        <v>4.9903208166351973</v>
      </c>
      <c r="L42" s="5">
        <f t="shared" si="14"/>
        <v>4.9394555065291783</v>
      </c>
      <c r="M42" s="5">
        <f t="shared" si="15"/>
        <v>5.0417889371150562</v>
      </c>
      <c r="N42" s="5">
        <f t="shared" si="16"/>
        <v>5.0865310106019024E-2</v>
      </c>
      <c r="O42" s="5">
        <f t="shared" si="17"/>
        <v>5.1468120479858825E-2</v>
      </c>
    </row>
    <row r="43" spans="1:15" ht="15.6" customHeight="1" x14ac:dyDescent="0.3">
      <c r="A43" s="1">
        <v>3</v>
      </c>
      <c r="B43" s="1">
        <v>200</v>
      </c>
      <c r="C43" s="1">
        <v>400</v>
      </c>
      <c r="D43" s="2">
        <v>0.1</v>
      </c>
      <c r="E43" s="1">
        <v>11</v>
      </c>
      <c r="F43" s="2">
        <v>0</v>
      </c>
      <c r="G43" s="2">
        <v>183.34</v>
      </c>
      <c r="H43" s="2">
        <v>19.47</v>
      </c>
      <c r="J43" s="4">
        <f t="shared" si="12"/>
        <v>0.97349999999999992</v>
      </c>
      <c r="K43" s="5">
        <f t="shared" si="13"/>
        <v>5.1489402336957744</v>
      </c>
      <c r="L43" s="5">
        <f t="shared" si="14"/>
        <v>5.1039758183325787</v>
      </c>
      <c r="M43" s="5">
        <f t="shared" si="15"/>
        <v>5.194375060019313</v>
      </c>
      <c r="N43" s="5">
        <f t="shared" si="16"/>
        <v>4.496441536319562E-2</v>
      </c>
      <c r="O43" s="5">
        <f t="shared" si="17"/>
        <v>4.543482632353868E-2</v>
      </c>
    </row>
    <row r="44" spans="1:15" ht="15.6" customHeight="1" x14ac:dyDescent="0.3">
      <c r="A44" s="1">
        <v>3</v>
      </c>
      <c r="B44" s="1">
        <v>200</v>
      </c>
      <c r="C44" s="1">
        <v>400</v>
      </c>
      <c r="D44" s="2">
        <v>0.1</v>
      </c>
      <c r="E44" s="1">
        <v>12</v>
      </c>
      <c r="F44" s="2">
        <v>0</v>
      </c>
      <c r="G44" s="2">
        <v>181.32</v>
      </c>
      <c r="H44" s="2">
        <v>18.21</v>
      </c>
      <c r="J44" s="4">
        <f t="shared" si="12"/>
        <v>0.91050000000000009</v>
      </c>
      <c r="K44" s="5">
        <f t="shared" si="13"/>
        <v>5.1970553999699343</v>
      </c>
      <c r="L44" s="5">
        <f t="shared" si="14"/>
        <v>5.1545204292601818</v>
      </c>
      <c r="M44" s="5">
        <f t="shared" si="15"/>
        <v>5.2400110837156202</v>
      </c>
      <c r="N44" s="5">
        <f t="shared" si="16"/>
        <v>4.2534970709752429E-2</v>
      </c>
      <c r="O44" s="5">
        <f t="shared" si="17"/>
        <v>4.2955683745685924E-2</v>
      </c>
    </row>
    <row r="45" spans="1:15" ht="15.6" customHeight="1" x14ac:dyDescent="0.3">
      <c r="A45" s="1">
        <v>3</v>
      </c>
      <c r="B45" s="1">
        <v>200</v>
      </c>
      <c r="C45" s="1">
        <v>400</v>
      </c>
      <c r="D45" s="2">
        <v>0.1</v>
      </c>
      <c r="E45" s="1">
        <v>13</v>
      </c>
      <c r="F45" s="2">
        <v>0</v>
      </c>
      <c r="G45" s="2">
        <v>180.58</v>
      </c>
      <c r="H45" s="2">
        <v>18.27</v>
      </c>
      <c r="J45" s="4">
        <f t="shared" si="12"/>
        <v>0.91349999999999998</v>
      </c>
      <c r="K45" s="5">
        <f t="shared" si="13"/>
        <v>5.2148160169641056</v>
      </c>
      <c r="L45" s="5">
        <f t="shared" si="14"/>
        <v>5.1719675684054387</v>
      </c>
      <c r="M45" s="5">
        <f t="shared" si="15"/>
        <v>5.2580914337991373</v>
      </c>
      <c r="N45" s="5">
        <f t="shared" si="16"/>
        <v>4.2848448558666874E-2</v>
      </c>
      <c r="O45" s="5">
        <f t="shared" si="17"/>
        <v>4.3275416835031777E-2</v>
      </c>
    </row>
    <row r="46" spans="1:15" ht="15.6" customHeight="1" x14ac:dyDescent="0.3">
      <c r="A46" s="1">
        <v>3</v>
      </c>
      <c r="B46" s="1">
        <v>200</v>
      </c>
      <c r="C46" s="1">
        <v>400</v>
      </c>
      <c r="D46" s="2">
        <v>0.1</v>
      </c>
      <c r="E46" s="1">
        <v>14</v>
      </c>
      <c r="F46" s="2">
        <v>0</v>
      </c>
      <c r="G46" s="2">
        <v>179.89</v>
      </c>
      <c r="H46" s="2">
        <v>19.920000000000002</v>
      </c>
      <c r="J46" s="4">
        <f t="shared" si="12"/>
        <v>0.99600000000000011</v>
      </c>
      <c r="K46" s="5">
        <f t="shared" si="13"/>
        <v>5.2314422859188845</v>
      </c>
      <c r="L46" s="5">
        <f t="shared" si="14"/>
        <v>5.1845666889797943</v>
      </c>
      <c r="M46" s="5">
        <f t="shared" si="15"/>
        <v>5.2788293605077126</v>
      </c>
      <c r="N46" s="5">
        <f t="shared" si="16"/>
        <v>4.6875596939090158E-2</v>
      </c>
      <c r="O46" s="5">
        <f t="shared" si="17"/>
        <v>4.7387074588828071E-2</v>
      </c>
    </row>
    <row r="47" spans="1:15" ht="15.6" customHeight="1" x14ac:dyDescent="0.3">
      <c r="A47" s="1">
        <v>3</v>
      </c>
      <c r="B47" s="1">
        <v>200</v>
      </c>
      <c r="C47" s="1">
        <v>400</v>
      </c>
      <c r="D47" s="2">
        <v>0.1</v>
      </c>
      <c r="E47" s="1">
        <v>15</v>
      </c>
      <c r="F47" s="2">
        <v>0</v>
      </c>
      <c r="G47" s="2">
        <v>178.93</v>
      </c>
      <c r="H47" s="2">
        <v>19.34</v>
      </c>
      <c r="J47" s="4">
        <f t="shared" si="12"/>
        <v>0.96699999999999997</v>
      </c>
      <c r="K47" s="5">
        <f t="shared" si="13"/>
        <v>5.2546808845144586</v>
      </c>
      <c r="L47" s="5">
        <f t="shared" si="14"/>
        <v>5.2089200805864175</v>
      </c>
      <c r="M47" s="5">
        <f t="shared" si="15"/>
        <v>5.3009290008214736</v>
      </c>
      <c r="N47" s="5">
        <f t="shared" si="16"/>
        <v>4.5760803928041049E-2</v>
      </c>
      <c r="O47" s="5">
        <f t="shared" si="17"/>
        <v>4.6248116307014975E-2</v>
      </c>
    </row>
    <row r="48" spans="1:15" ht="15.6" customHeight="1" x14ac:dyDescent="0.3">
      <c r="A48" s="1">
        <v>3</v>
      </c>
      <c r="B48" s="1">
        <v>200</v>
      </c>
      <c r="C48" s="1">
        <v>400</v>
      </c>
      <c r="D48" s="2">
        <v>0.1</v>
      </c>
      <c r="E48" s="1">
        <v>16</v>
      </c>
      <c r="F48" s="2">
        <v>0</v>
      </c>
      <c r="G48" s="2">
        <v>175.73</v>
      </c>
      <c r="H48" s="2">
        <v>17.57</v>
      </c>
      <c r="J48" s="4">
        <f t="shared" si="12"/>
        <v>0.87850000000000006</v>
      </c>
      <c r="K48" s="5">
        <f t="shared" si="13"/>
        <v>5.3330534135120757</v>
      </c>
      <c r="L48" s="5">
        <f t="shared" si="14"/>
        <v>5.290706945247555</v>
      </c>
      <c r="M48" s="5">
        <f t="shared" si="15"/>
        <v>5.3758168558153185</v>
      </c>
      <c r="N48" s="5">
        <f t="shared" si="16"/>
        <v>4.2346468264520709E-2</v>
      </c>
      <c r="O48" s="5">
        <f t="shared" si="17"/>
        <v>4.2763442303242805E-2</v>
      </c>
    </row>
    <row r="49" spans="1:15" ht="15.6" customHeight="1" x14ac:dyDescent="0.3">
      <c r="A49" s="1">
        <v>3</v>
      </c>
      <c r="B49" s="1">
        <v>200</v>
      </c>
      <c r="C49" s="1">
        <v>400</v>
      </c>
      <c r="D49" s="2">
        <v>0.1</v>
      </c>
      <c r="E49" s="1">
        <v>17</v>
      </c>
      <c r="F49" s="2">
        <v>0</v>
      </c>
      <c r="G49" s="2">
        <v>174.39</v>
      </c>
      <c r="H49" s="2">
        <v>18.16</v>
      </c>
      <c r="J49" s="4">
        <f t="shared" si="12"/>
        <v>0.90800000000000003</v>
      </c>
      <c r="K49" s="5">
        <f t="shared" si="13"/>
        <v>5.3662967270759312</v>
      </c>
      <c r="L49" s="5">
        <f t="shared" si="14"/>
        <v>5.3222008491011756</v>
      </c>
      <c r="M49" s="5">
        <f t="shared" si="15"/>
        <v>5.410844926946706</v>
      </c>
      <c r="N49" s="5">
        <f t="shared" si="16"/>
        <v>4.409587797475556E-2</v>
      </c>
      <c r="O49" s="5">
        <f t="shared" si="17"/>
        <v>4.4548199870774852E-2</v>
      </c>
    </row>
    <row r="50" spans="1:15" ht="15.6" customHeight="1" x14ac:dyDescent="0.3">
      <c r="A50" s="1">
        <v>3</v>
      </c>
      <c r="B50" s="1">
        <v>200</v>
      </c>
      <c r="C50" s="1">
        <v>400</v>
      </c>
      <c r="D50" s="2">
        <v>0.1</v>
      </c>
      <c r="E50" s="1">
        <v>18</v>
      </c>
      <c r="F50" s="2">
        <v>0</v>
      </c>
      <c r="G50" s="2">
        <v>173.35</v>
      </c>
      <c r="H50" s="2">
        <v>18.62</v>
      </c>
      <c r="J50" s="4">
        <f t="shared" si="12"/>
        <v>0.93100000000000005</v>
      </c>
      <c r="K50" s="5">
        <f t="shared" si="13"/>
        <v>5.3922740439122823</v>
      </c>
      <c r="L50" s="5">
        <f t="shared" si="14"/>
        <v>5.3467971922729021</v>
      </c>
      <c r="M50" s="5">
        <f t="shared" si="15"/>
        <v>5.4382321471516013</v>
      </c>
      <c r="N50" s="5">
        <f t="shared" si="16"/>
        <v>4.54768516393802E-2</v>
      </c>
      <c r="O50" s="5">
        <f t="shared" si="17"/>
        <v>4.5958103239319037E-2</v>
      </c>
    </row>
    <row r="51" spans="1:15" ht="15.6" customHeight="1" x14ac:dyDescent="0.3">
      <c r="A51" s="1">
        <v>3</v>
      </c>
      <c r="B51" s="1">
        <v>200</v>
      </c>
      <c r="C51" s="1">
        <v>400</v>
      </c>
      <c r="D51" s="2">
        <v>0.1</v>
      </c>
      <c r="E51" s="1">
        <v>19</v>
      </c>
      <c r="F51" s="2">
        <v>0</v>
      </c>
      <c r="G51" s="2">
        <v>173.2</v>
      </c>
      <c r="H51" s="2">
        <v>17.760000000000002</v>
      </c>
      <c r="J51" s="4">
        <f t="shared" si="12"/>
        <v>0.88800000000000012</v>
      </c>
      <c r="K51" s="5">
        <f t="shared" si="13"/>
        <v>5.3960336270231588</v>
      </c>
      <c r="L51" s="5">
        <f t="shared" si="14"/>
        <v>5.3526093657964777</v>
      </c>
      <c r="M51" s="5">
        <f t="shared" si="15"/>
        <v>5.4398964679628232</v>
      </c>
      <c r="N51" s="5">
        <f t="shared" si="16"/>
        <v>4.3424261226681082E-2</v>
      </c>
      <c r="O51" s="5">
        <f t="shared" si="17"/>
        <v>4.3862840939664416E-2</v>
      </c>
    </row>
    <row r="52" spans="1:15" ht="15.6" customHeight="1" x14ac:dyDescent="0.3">
      <c r="A52" s="1">
        <v>3</v>
      </c>
      <c r="B52" s="1">
        <v>200</v>
      </c>
      <c r="C52" s="1">
        <v>400</v>
      </c>
      <c r="D52" s="2">
        <v>0.1</v>
      </c>
      <c r="E52" s="1">
        <v>20</v>
      </c>
      <c r="F52" s="2">
        <v>0</v>
      </c>
      <c r="G52" s="2">
        <v>170.82</v>
      </c>
      <c r="H52" s="2">
        <v>17.89</v>
      </c>
      <c r="J52" s="4">
        <f t="shared" si="12"/>
        <v>0.89450000000000007</v>
      </c>
      <c r="K52" s="5">
        <f t="shared" si="13"/>
        <v>5.4561253285304492</v>
      </c>
      <c r="L52" s="5">
        <f t="shared" si="14"/>
        <v>5.4117784781433045</v>
      </c>
      <c r="M52" s="5">
        <f t="shared" si="15"/>
        <v>5.5009296910172303</v>
      </c>
      <c r="N52" s="5">
        <f t="shared" si="16"/>
        <v>4.4346850387144698E-2</v>
      </c>
      <c r="O52" s="5">
        <f t="shared" si="17"/>
        <v>4.4804362486781102E-2</v>
      </c>
    </row>
    <row r="53" spans="1:15" ht="15.6" customHeight="1" x14ac:dyDescent="0.3">
      <c r="A53" s="13" t="s">
        <v>17</v>
      </c>
      <c r="B53" s="7"/>
      <c r="C53" s="7"/>
      <c r="D53" s="8"/>
      <c r="E53" s="7"/>
      <c r="F53" s="8"/>
      <c r="G53" s="8"/>
      <c r="H53" s="8"/>
      <c r="I53" s="8"/>
      <c r="J53" s="9"/>
      <c r="K53" s="10"/>
      <c r="L53" s="10"/>
      <c r="M53" s="10"/>
      <c r="N53" s="10"/>
      <c r="O53" s="10"/>
    </row>
    <row r="54" spans="1:15" ht="15.6" customHeight="1" x14ac:dyDescent="0.3">
      <c r="A54" s="1">
        <v>4</v>
      </c>
      <c r="B54" s="1">
        <v>200</v>
      </c>
      <c r="C54" s="1">
        <v>400</v>
      </c>
      <c r="D54" s="2">
        <v>0.1</v>
      </c>
      <c r="E54" s="1">
        <v>5</v>
      </c>
      <c r="F54" s="2">
        <v>0</v>
      </c>
      <c r="G54" s="2">
        <v>260.63</v>
      </c>
      <c r="H54" s="2">
        <v>34.56</v>
      </c>
      <c r="J54" s="4">
        <f t="shared" ref="J54:J69" si="18">H54/SQRT(C54)</f>
        <v>1.7280000000000002</v>
      </c>
      <c r="K54" s="5">
        <f t="shared" ref="K54:K69" si="19">-10*LOG10(G54/(B54*3))</f>
        <v>3.6212684635710946</v>
      </c>
      <c r="L54" s="5">
        <f t="shared" ref="L54:L69" si="20">-10*LOG10((G54+1.96*J54)/(B54*3))</f>
        <v>3.5651955587556197</v>
      </c>
      <c r="M54" s="5">
        <f t="shared" ref="M54:M69" si="21">-10*LOG10((G54-1.96*J54)/(B54*3))</f>
        <v>3.6780748205506875</v>
      </c>
      <c r="N54" s="5">
        <f t="shared" ref="N54:N69" si="22">K54-L54</f>
        <v>5.6072904815474889E-2</v>
      </c>
      <c r="O54" s="5">
        <f t="shared" ref="O54:O69" si="23">M54-K54</f>
        <v>5.6806356979592909E-2</v>
      </c>
    </row>
    <row r="55" spans="1:15" ht="15.6" customHeight="1" x14ac:dyDescent="0.3">
      <c r="A55" s="3">
        <v>4</v>
      </c>
      <c r="B55" s="3">
        <v>200</v>
      </c>
      <c r="C55" s="3">
        <v>400</v>
      </c>
      <c r="D55" s="4">
        <v>0.1</v>
      </c>
      <c r="E55" s="3">
        <v>6</v>
      </c>
      <c r="F55" s="4">
        <v>0</v>
      </c>
      <c r="G55" s="4">
        <v>196.53</v>
      </c>
      <c r="H55" s="4">
        <v>23.33</v>
      </c>
      <c r="I55" s="4"/>
      <c r="J55" s="4">
        <f t="shared" si="18"/>
        <v>1.1664999999999999</v>
      </c>
      <c r="K55" s="5">
        <f t="shared" si="19"/>
        <v>4.8472239623204141</v>
      </c>
      <c r="L55" s="5">
        <f t="shared" si="20"/>
        <v>4.7969917575386996</v>
      </c>
      <c r="M55" s="5">
        <f t="shared" si="21"/>
        <v>4.8980439779846474</v>
      </c>
      <c r="N55" s="5">
        <f t="shared" si="22"/>
        <v>5.0232204781714529E-2</v>
      </c>
      <c r="O55" s="5">
        <f t="shared" si="23"/>
        <v>5.0820015664233331E-2</v>
      </c>
    </row>
    <row r="56" spans="1:15" ht="15.6" customHeight="1" x14ac:dyDescent="0.3">
      <c r="A56" s="3">
        <v>4</v>
      </c>
      <c r="B56" s="3">
        <v>200</v>
      </c>
      <c r="C56" s="3">
        <v>400</v>
      </c>
      <c r="D56" s="4">
        <v>0.1</v>
      </c>
      <c r="E56" s="3">
        <v>7</v>
      </c>
      <c r="F56" s="4">
        <v>0</v>
      </c>
      <c r="G56" s="4">
        <v>174.81</v>
      </c>
      <c r="H56" s="4">
        <v>18.3</v>
      </c>
      <c r="I56" s="4"/>
      <c r="J56" s="4">
        <f t="shared" si="18"/>
        <v>0.91500000000000004</v>
      </c>
      <c r="K56" s="5">
        <f t="shared" si="19"/>
        <v>5.3558497757383119</v>
      </c>
      <c r="L56" s="5">
        <f t="shared" si="20"/>
        <v>5.3115218994716473</v>
      </c>
      <c r="M56" s="5">
        <f t="shared" si="21"/>
        <v>5.4006347706674083</v>
      </c>
      <c r="N56" s="5">
        <f t="shared" si="22"/>
        <v>4.4327876266664568E-2</v>
      </c>
      <c r="O56" s="5">
        <f t="shared" si="23"/>
        <v>4.4784994929096378E-2</v>
      </c>
    </row>
    <row r="57" spans="1:15" ht="15.6" customHeight="1" x14ac:dyDescent="0.3">
      <c r="A57" s="3">
        <v>4</v>
      </c>
      <c r="B57" s="3">
        <v>200</v>
      </c>
      <c r="C57" s="3">
        <v>400</v>
      </c>
      <c r="D57" s="4">
        <v>0.1</v>
      </c>
      <c r="E57" s="3">
        <v>8</v>
      </c>
      <c r="F57" s="4">
        <v>0</v>
      </c>
      <c r="G57" s="4">
        <v>168.43</v>
      </c>
      <c r="H57" s="4">
        <v>18.29</v>
      </c>
      <c r="I57" s="4"/>
      <c r="J57" s="4">
        <f t="shared" si="18"/>
        <v>0.91449999999999998</v>
      </c>
      <c r="K57" s="5">
        <f t="shared" si="19"/>
        <v>5.5173180173504104</v>
      </c>
      <c r="L57" s="5">
        <f t="shared" si="20"/>
        <v>5.4713448992864926</v>
      </c>
      <c r="M57" s="5">
        <f t="shared" si="21"/>
        <v>5.563783004547421</v>
      </c>
      <c r="N57" s="5">
        <f t="shared" si="22"/>
        <v>4.5973118063917795E-2</v>
      </c>
      <c r="O57" s="5">
        <f t="shared" si="23"/>
        <v>4.6464987197010643E-2</v>
      </c>
    </row>
    <row r="58" spans="1:15" ht="15.6" customHeight="1" x14ac:dyDescent="0.3">
      <c r="A58" s="3">
        <v>4</v>
      </c>
      <c r="B58" s="3">
        <v>200</v>
      </c>
      <c r="C58" s="3">
        <v>400</v>
      </c>
      <c r="D58" s="4">
        <v>0.1</v>
      </c>
      <c r="E58" s="3">
        <v>9</v>
      </c>
      <c r="F58" s="4">
        <v>0</v>
      </c>
      <c r="G58" s="4">
        <v>165.41</v>
      </c>
      <c r="H58" s="4">
        <v>17.98</v>
      </c>
      <c r="I58" s="4"/>
      <c r="J58" s="4">
        <f t="shared" si="18"/>
        <v>0.89900000000000002</v>
      </c>
      <c r="K58" s="5">
        <f t="shared" si="19"/>
        <v>5.5958948873701777</v>
      </c>
      <c r="L58" s="5">
        <f t="shared" si="20"/>
        <v>5.5498760819645057</v>
      </c>
      <c r="M58" s="5">
        <f t="shared" si="21"/>
        <v>5.6424065452675878</v>
      </c>
      <c r="N58" s="5">
        <f t="shared" si="22"/>
        <v>4.6018805405672047E-2</v>
      </c>
      <c r="O58" s="5">
        <f t="shared" si="23"/>
        <v>4.6511657897410075E-2</v>
      </c>
    </row>
    <row r="59" spans="1:15" ht="15.6" customHeight="1" x14ac:dyDescent="0.3">
      <c r="A59" s="3">
        <v>4</v>
      </c>
      <c r="B59" s="3">
        <v>200</v>
      </c>
      <c r="C59" s="3">
        <v>400</v>
      </c>
      <c r="D59" s="4">
        <v>0.1</v>
      </c>
      <c r="E59" s="3">
        <v>10</v>
      </c>
      <c r="F59" s="4">
        <v>0</v>
      </c>
      <c r="G59" s="4">
        <v>164.1</v>
      </c>
      <c r="H59" s="4">
        <v>18.28</v>
      </c>
      <c r="I59" s="4"/>
      <c r="J59" s="4">
        <f t="shared" si="18"/>
        <v>0.91400000000000003</v>
      </c>
      <c r="K59" s="5">
        <f t="shared" si="19"/>
        <v>5.6304266933055045</v>
      </c>
      <c r="L59" s="5">
        <f t="shared" si="20"/>
        <v>5.5832727338084132</v>
      </c>
      <c r="M59" s="5">
        <f t="shared" si="21"/>
        <v>5.678098256730431</v>
      </c>
      <c r="N59" s="5">
        <f t="shared" si="22"/>
        <v>4.7153959497091336E-2</v>
      </c>
      <c r="O59" s="5">
        <f t="shared" si="23"/>
        <v>4.7671563424926511E-2</v>
      </c>
    </row>
    <row r="60" spans="1:15" ht="15.6" customHeight="1" x14ac:dyDescent="0.3">
      <c r="A60" s="3">
        <v>4</v>
      </c>
      <c r="B60" s="3">
        <v>200</v>
      </c>
      <c r="C60" s="3">
        <v>400</v>
      </c>
      <c r="D60" s="4">
        <v>0.1</v>
      </c>
      <c r="E60" s="3">
        <v>11</v>
      </c>
      <c r="F60" s="4">
        <v>0</v>
      </c>
      <c r="G60" s="4">
        <v>163.26</v>
      </c>
      <c r="H60" s="4">
        <v>18.7</v>
      </c>
      <c r="I60" s="4"/>
      <c r="J60" s="4">
        <f t="shared" si="18"/>
        <v>0.93499999999999994</v>
      </c>
      <c r="K60" s="5">
        <f t="shared" si="19"/>
        <v>5.6527145822024227</v>
      </c>
      <c r="L60" s="5">
        <f t="shared" si="20"/>
        <v>5.6042364320922768</v>
      </c>
      <c r="M60" s="5">
        <f t="shared" si="21"/>
        <v>5.7017399844339494</v>
      </c>
      <c r="N60" s="5">
        <f t="shared" si="22"/>
        <v>4.847815011014589E-2</v>
      </c>
      <c r="O60" s="5">
        <f t="shared" si="23"/>
        <v>4.9025402231526627E-2</v>
      </c>
    </row>
    <row r="61" spans="1:15" ht="15.6" customHeight="1" x14ac:dyDescent="0.3">
      <c r="A61" s="3">
        <v>4</v>
      </c>
      <c r="B61" s="3">
        <v>200</v>
      </c>
      <c r="C61" s="3">
        <v>400</v>
      </c>
      <c r="D61" s="4">
        <v>0.1</v>
      </c>
      <c r="E61" s="3">
        <v>12</v>
      </c>
      <c r="F61" s="4">
        <v>0</v>
      </c>
      <c r="G61" s="4">
        <v>164.57</v>
      </c>
      <c r="H61" s="4">
        <v>18.670000000000002</v>
      </c>
      <c r="I61" s="4"/>
      <c r="J61" s="4">
        <f t="shared" si="18"/>
        <v>0.93350000000000011</v>
      </c>
      <c r="K61" s="5">
        <f t="shared" si="19"/>
        <v>5.6180058124444745</v>
      </c>
      <c r="L61" s="5">
        <f t="shared" si="20"/>
        <v>5.5699881581039712</v>
      </c>
      <c r="M61" s="5">
        <f t="shared" si="21"/>
        <v>5.6665603138737914</v>
      </c>
      <c r="N61" s="5">
        <f t="shared" si="22"/>
        <v>4.8017654340503313E-2</v>
      </c>
      <c r="O61" s="5">
        <f t="shared" si="23"/>
        <v>4.8554501429316943E-2</v>
      </c>
    </row>
    <row r="62" spans="1:15" ht="15.6" customHeight="1" x14ac:dyDescent="0.3">
      <c r="A62" s="3">
        <v>4</v>
      </c>
      <c r="B62" s="3">
        <v>200</v>
      </c>
      <c r="C62" s="3">
        <v>400</v>
      </c>
      <c r="D62" s="4">
        <v>0.1</v>
      </c>
      <c r="E62" s="3">
        <v>13</v>
      </c>
      <c r="F62" s="4">
        <v>0</v>
      </c>
      <c r="G62" s="4">
        <v>167.1</v>
      </c>
      <c r="H62" s="4">
        <v>19.09</v>
      </c>
      <c r="I62" s="4"/>
      <c r="J62" s="4">
        <f t="shared" si="18"/>
        <v>0.95450000000000002</v>
      </c>
      <c r="K62" s="5">
        <f t="shared" si="19"/>
        <v>5.5517480049025236</v>
      </c>
      <c r="L62" s="5">
        <f t="shared" si="20"/>
        <v>5.5033953871174788</v>
      </c>
      <c r="M62" s="5">
        <f t="shared" si="21"/>
        <v>5.6006450283574942</v>
      </c>
      <c r="N62" s="5">
        <f t="shared" si="22"/>
        <v>4.8352617785044849E-2</v>
      </c>
      <c r="O62" s="5">
        <f t="shared" si="23"/>
        <v>4.8897023454970601E-2</v>
      </c>
    </row>
    <row r="63" spans="1:15" ht="15.6" customHeight="1" x14ac:dyDescent="0.3">
      <c r="A63" s="3">
        <v>4</v>
      </c>
      <c r="B63" s="3">
        <v>200</v>
      </c>
      <c r="C63" s="3">
        <v>400</v>
      </c>
      <c r="D63" s="4">
        <v>0.1</v>
      </c>
      <c r="E63" s="3">
        <v>14</v>
      </c>
      <c r="F63" s="4">
        <v>0</v>
      </c>
      <c r="G63" s="4">
        <v>167.36</v>
      </c>
      <c r="H63" s="4">
        <v>18.440000000000001</v>
      </c>
      <c r="I63" s="4"/>
      <c r="J63" s="4">
        <f t="shared" si="18"/>
        <v>0.92200000000000004</v>
      </c>
      <c r="K63" s="5">
        <f t="shared" si="19"/>
        <v>5.5449958319646342</v>
      </c>
      <c r="L63" s="5">
        <f t="shared" si="20"/>
        <v>5.4983529469597867</v>
      </c>
      <c r="M63" s="5">
        <f t="shared" si="21"/>
        <v>5.5921451013259373</v>
      </c>
      <c r="N63" s="5">
        <f t="shared" si="22"/>
        <v>4.6642885004847479E-2</v>
      </c>
      <c r="O63" s="5">
        <f t="shared" si="23"/>
        <v>4.7149269361303148E-2</v>
      </c>
    </row>
    <row r="64" spans="1:15" ht="15.6" customHeight="1" x14ac:dyDescent="0.3">
      <c r="A64" s="3">
        <v>4</v>
      </c>
      <c r="B64" s="3">
        <v>200</v>
      </c>
      <c r="C64" s="3">
        <v>400</v>
      </c>
      <c r="D64" s="4">
        <v>0.1</v>
      </c>
      <c r="E64" s="3">
        <v>15</v>
      </c>
      <c r="F64" s="4">
        <v>0</v>
      </c>
      <c r="G64" s="4">
        <v>167.57</v>
      </c>
      <c r="H64" s="4">
        <v>16.760000000000002</v>
      </c>
      <c r="I64" s="4"/>
      <c r="J64" s="4">
        <f t="shared" si="18"/>
        <v>0.83800000000000008</v>
      </c>
      <c r="K64" s="5">
        <f t="shared" si="19"/>
        <v>5.5395498072340388</v>
      </c>
      <c r="L64" s="5">
        <f t="shared" si="20"/>
        <v>5.4971885979377344</v>
      </c>
      <c r="M64" s="5">
        <f t="shared" si="21"/>
        <v>5.5823282823539921</v>
      </c>
      <c r="N64" s="5">
        <f t="shared" si="22"/>
        <v>4.2361209296304381E-2</v>
      </c>
      <c r="O64" s="5">
        <f t="shared" si="23"/>
        <v>4.2778475119953363E-2</v>
      </c>
    </row>
    <row r="65" spans="1:15" ht="15.6" customHeight="1" x14ac:dyDescent="0.3">
      <c r="A65" s="3">
        <v>4</v>
      </c>
      <c r="B65" s="3">
        <v>200</v>
      </c>
      <c r="C65" s="3">
        <v>400</v>
      </c>
      <c r="D65" s="4">
        <v>0.1</v>
      </c>
      <c r="E65" s="3">
        <v>16</v>
      </c>
      <c r="F65" s="3">
        <v>0</v>
      </c>
      <c r="G65" s="4">
        <v>166.8</v>
      </c>
      <c r="H65" s="4">
        <v>19.13</v>
      </c>
      <c r="I65" s="4"/>
      <c r="J65" s="4">
        <f t="shared" si="18"/>
        <v>0.95649999999999991</v>
      </c>
      <c r="K65" s="5">
        <f t="shared" si="19"/>
        <v>5.5595520408192369</v>
      </c>
      <c r="L65" s="5">
        <f t="shared" si="20"/>
        <v>5.5110120098955475</v>
      </c>
      <c r="M65" s="5">
        <f t="shared" si="21"/>
        <v>5.6086407297766652</v>
      </c>
      <c r="N65" s="5">
        <f t="shared" si="22"/>
        <v>4.8540030923689415E-2</v>
      </c>
      <c r="O65" s="5">
        <f t="shared" si="23"/>
        <v>4.9088688957428239E-2</v>
      </c>
    </row>
    <row r="66" spans="1:15" ht="15.6" customHeight="1" x14ac:dyDescent="0.3">
      <c r="A66" s="3">
        <v>4</v>
      </c>
      <c r="B66" s="3">
        <v>200</v>
      </c>
      <c r="C66" s="3">
        <v>400</v>
      </c>
      <c r="D66" s="4">
        <v>0.1</v>
      </c>
      <c r="E66" s="3">
        <v>17</v>
      </c>
      <c r="F66" s="4">
        <v>0</v>
      </c>
      <c r="G66" s="4">
        <v>168.2</v>
      </c>
      <c r="H66" s="4">
        <v>18.260000000000002</v>
      </c>
      <c r="I66" s="4"/>
      <c r="J66" s="4">
        <f t="shared" si="18"/>
        <v>0.91300000000000003</v>
      </c>
      <c r="K66" s="5">
        <f t="shared" si="19"/>
        <v>5.5232525892175035</v>
      </c>
      <c r="L66" s="5">
        <f t="shared" si="20"/>
        <v>5.4772920500136282</v>
      </c>
      <c r="M66" s="5">
        <f t="shared" si="21"/>
        <v>5.569704726985659</v>
      </c>
      <c r="N66" s="5">
        <f t="shared" si="22"/>
        <v>4.5960539203875328E-2</v>
      </c>
      <c r="O66" s="5">
        <f t="shared" si="23"/>
        <v>4.6452137768155488E-2</v>
      </c>
    </row>
    <row r="67" spans="1:15" ht="15.6" customHeight="1" x14ac:dyDescent="0.3">
      <c r="A67" s="3">
        <v>4</v>
      </c>
      <c r="B67" s="3">
        <v>200</v>
      </c>
      <c r="C67" s="3">
        <v>400</v>
      </c>
      <c r="D67" s="4">
        <v>0.1</v>
      </c>
      <c r="E67" s="3">
        <v>18</v>
      </c>
      <c r="F67" s="4">
        <v>0</v>
      </c>
      <c r="G67" s="4">
        <v>167.34</v>
      </c>
      <c r="H67" s="4">
        <v>18.690000000000001</v>
      </c>
      <c r="I67" s="4"/>
      <c r="J67" s="4">
        <f t="shared" si="18"/>
        <v>0.93450000000000011</v>
      </c>
      <c r="K67" s="5">
        <f t="shared" si="19"/>
        <v>5.5455148573395014</v>
      </c>
      <c r="L67" s="5">
        <f t="shared" si="20"/>
        <v>5.4982374221949506</v>
      </c>
      <c r="M67" s="5">
        <f t="shared" si="21"/>
        <v>5.5933126257026089</v>
      </c>
      <c r="N67" s="5">
        <f t="shared" si="22"/>
        <v>4.727743514455085E-2</v>
      </c>
      <c r="O67" s="5">
        <f t="shared" si="23"/>
        <v>4.7797768363107451E-2</v>
      </c>
    </row>
    <row r="68" spans="1:15" ht="15.6" customHeight="1" x14ac:dyDescent="0.3">
      <c r="A68" s="3">
        <v>4</v>
      </c>
      <c r="B68" s="3">
        <v>200</v>
      </c>
      <c r="C68" s="3">
        <v>400</v>
      </c>
      <c r="D68" s="4">
        <v>0.1</v>
      </c>
      <c r="E68" s="3">
        <v>19</v>
      </c>
      <c r="F68" s="4">
        <v>0</v>
      </c>
      <c r="G68" s="4">
        <v>167.57</v>
      </c>
      <c r="H68" s="4">
        <v>17.829999999999998</v>
      </c>
      <c r="I68" s="4"/>
      <c r="J68" s="4">
        <f t="shared" si="18"/>
        <v>0.89149999999999996</v>
      </c>
      <c r="K68" s="5">
        <f t="shared" si="19"/>
        <v>5.5395498072340388</v>
      </c>
      <c r="L68" s="5">
        <f t="shared" si="20"/>
        <v>5.4944981335745746</v>
      </c>
      <c r="M68" s="5">
        <f t="shared" si="21"/>
        <v>5.5850737289963401</v>
      </c>
      <c r="N68" s="5">
        <f t="shared" si="22"/>
        <v>4.5051673659464164E-2</v>
      </c>
      <c r="O68" s="5">
        <f t="shared" si="23"/>
        <v>4.5523921762301356E-2</v>
      </c>
    </row>
    <row r="69" spans="1:15" ht="15.6" customHeight="1" x14ac:dyDescent="0.3">
      <c r="A69" s="3">
        <v>4</v>
      </c>
      <c r="B69" s="3">
        <v>200</v>
      </c>
      <c r="C69" s="3">
        <v>400</v>
      </c>
      <c r="D69" s="4">
        <v>0.1</v>
      </c>
      <c r="E69" s="3">
        <v>20</v>
      </c>
      <c r="F69" s="4">
        <v>0</v>
      </c>
      <c r="G69" s="4">
        <v>168.53</v>
      </c>
      <c r="H69" s="4">
        <v>19.04</v>
      </c>
      <c r="I69" s="4"/>
      <c r="J69" s="4">
        <f t="shared" si="18"/>
        <v>0.95199999999999996</v>
      </c>
      <c r="K69" s="5">
        <f t="shared" si="19"/>
        <v>5.5147402959908831</v>
      </c>
      <c r="L69" s="5">
        <f t="shared" si="20"/>
        <v>5.4669205867772552</v>
      </c>
      <c r="M69" s="5">
        <f t="shared" si="21"/>
        <v>5.5630924106995128</v>
      </c>
      <c r="N69" s="5">
        <f t="shared" si="22"/>
        <v>4.7819709213627881E-2</v>
      </c>
      <c r="O69" s="5">
        <f t="shared" si="23"/>
        <v>4.8352114708629657E-2</v>
      </c>
    </row>
    <row r="87" spans="10:15" ht="18.75" customHeight="1" x14ac:dyDescent="0.3">
      <c r="J87" s="4"/>
      <c r="K87" s="5"/>
      <c r="L87" s="5"/>
      <c r="M87" s="5"/>
      <c r="N87" s="5"/>
      <c r="O87" s="5"/>
    </row>
  </sheetData>
  <pageMargins left="0.7" right="0.7" top="0.75" bottom="0.75" header="0.3" footer="0.3"/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462155-605D-4751-BA19-E7EA7C7A44AD}">
  <sheetPr>
    <outlinePr summaryBelow="0"/>
  </sheetPr>
  <dimension ref="A1:O107"/>
  <sheetViews>
    <sheetView zoomScale="115" zoomScaleNormal="115" workbookViewId="0">
      <pane ySplit="1" topLeftCell="A2" activePane="bottomLeft" state="frozen"/>
      <selection activeCell="G30" sqref="G30"/>
      <selection pane="bottomLeft" activeCell="A69" sqref="A69:H89"/>
    </sheetView>
  </sheetViews>
  <sheetFormatPr defaultRowHeight="14.4" x14ac:dyDescent="0.3"/>
  <cols>
    <col min="1" max="1" width="13.33203125" style="1" bestFit="1" customWidth="1"/>
    <col min="2" max="2" width="10.33203125" style="1" customWidth="1"/>
    <col min="3" max="3" width="10.77734375" style="1" customWidth="1"/>
    <col min="4" max="4" width="10.21875" style="2" customWidth="1"/>
    <col min="5" max="5" width="11.77734375" style="1" customWidth="1"/>
    <col min="6" max="6" width="9.44140625" style="2" customWidth="1"/>
    <col min="7" max="9" width="10" style="2" customWidth="1"/>
    <col min="10" max="10" width="9" style="2" customWidth="1"/>
    <col min="11" max="15" width="12.44140625" style="2" customWidth="1"/>
    <col min="16" max="16" width="12.44140625" customWidth="1"/>
  </cols>
  <sheetData>
    <row r="1" spans="1:15" s="6" customFormat="1" ht="15.6" customHeight="1" x14ac:dyDescent="0.3">
      <c r="A1" s="11" t="s">
        <v>14</v>
      </c>
      <c r="B1" s="11" t="s">
        <v>0</v>
      </c>
      <c r="C1" s="11" t="s">
        <v>1</v>
      </c>
      <c r="D1" s="12" t="s">
        <v>2</v>
      </c>
      <c r="E1" s="11" t="s">
        <v>3</v>
      </c>
      <c r="F1" s="12" t="s">
        <v>4</v>
      </c>
      <c r="G1" s="12" t="s">
        <v>5</v>
      </c>
      <c r="H1" s="12" t="s">
        <v>6</v>
      </c>
      <c r="I1" s="12"/>
      <c r="J1" s="12" t="s">
        <v>7</v>
      </c>
      <c r="K1" s="12" t="s">
        <v>8</v>
      </c>
      <c r="L1" s="12" t="s">
        <v>9</v>
      </c>
      <c r="M1" s="12" t="s">
        <v>10</v>
      </c>
      <c r="N1" s="12" t="s">
        <v>11</v>
      </c>
      <c r="O1" s="12" t="s">
        <v>12</v>
      </c>
    </row>
    <row r="2" spans="1:15" ht="15.6" customHeight="1" x14ac:dyDescent="0.3">
      <c r="A2" s="13" t="s">
        <v>13</v>
      </c>
      <c r="B2" s="7"/>
      <c r="C2" s="7"/>
      <c r="D2" s="8"/>
      <c r="E2" s="7"/>
      <c r="F2" s="8"/>
      <c r="G2" s="8"/>
      <c r="H2" s="8"/>
      <c r="I2" s="8"/>
      <c r="J2" s="9"/>
      <c r="K2" s="10"/>
      <c r="L2" s="10"/>
      <c r="M2" s="10"/>
      <c r="N2" s="10"/>
      <c r="O2" s="10"/>
    </row>
    <row r="3" spans="1:15" ht="15.6" customHeight="1" x14ac:dyDescent="0.3">
      <c r="A3" s="1">
        <v>2</v>
      </c>
      <c r="B3" s="1">
        <v>200</v>
      </c>
      <c r="C3" s="1">
        <v>100</v>
      </c>
      <c r="D3" s="2">
        <v>0</v>
      </c>
      <c r="E3" s="1">
        <v>10</v>
      </c>
      <c r="F3" s="2">
        <v>0</v>
      </c>
      <c r="G3" s="2">
        <v>361.53</v>
      </c>
      <c r="H3" s="2">
        <v>115.43</v>
      </c>
      <c r="J3" s="4">
        <f t="shared" ref="J3:J23" si="0">H3/SQRT(C3)</f>
        <v>11.543000000000001</v>
      </c>
      <c r="K3" s="5">
        <f t="shared" ref="K3:K23" si="1">-10*LOG10(G3/(B3*3))</f>
        <v>2.2000690921264741</v>
      </c>
      <c r="L3" s="5">
        <f t="shared" ref="L3:L23" si="2">-10*LOG10((G3+1.96*J3)/(B3*3))</f>
        <v>1.9364557420268551</v>
      </c>
      <c r="M3" s="5">
        <f t="shared" ref="M3:M23" si="3">-10*LOG10((G3-1.96*J3)/(B3*3))</f>
        <v>2.4807235152716629</v>
      </c>
      <c r="N3" s="5">
        <f t="shared" ref="N3:N23" si="4">K3-L3</f>
        <v>0.26361335009961895</v>
      </c>
      <c r="O3" s="5">
        <f t="shared" ref="O3:O23" si="5">M3-K3</f>
        <v>0.28065442314518885</v>
      </c>
    </row>
    <row r="4" spans="1:15" ht="15.6" customHeight="1" x14ac:dyDescent="0.3">
      <c r="A4" s="3">
        <v>2</v>
      </c>
      <c r="B4" s="3">
        <v>200</v>
      </c>
      <c r="C4" s="3">
        <v>100</v>
      </c>
      <c r="D4" s="4">
        <v>0.01</v>
      </c>
      <c r="E4" s="3">
        <v>10</v>
      </c>
      <c r="F4" s="4">
        <v>0</v>
      </c>
      <c r="G4" s="4">
        <v>334.92</v>
      </c>
      <c r="H4" s="4">
        <v>111.86</v>
      </c>
      <c r="I4" s="4"/>
      <c r="J4" s="4">
        <f t="shared" si="0"/>
        <v>11.186</v>
      </c>
      <c r="K4" s="5">
        <f t="shared" si="1"/>
        <v>2.5321016784738775</v>
      </c>
      <c r="L4" s="5">
        <f t="shared" si="2"/>
        <v>2.2567216994360288</v>
      </c>
      <c r="M4" s="5">
        <f t="shared" si="3"/>
        <v>2.8261323998500156</v>
      </c>
      <c r="N4" s="5">
        <f t="shared" si="4"/>
        <v>0.27537997903784861</v>
      </c>
      <c r="O4" s="5">
        <f t="shared" si="5"/>
        <v>0.29403072137613817</v>
      </c>
    </row>
    <row r="5" spans="1:15" ht="15.6" customHeight="1" x14ac:dyDescent="0.3">
      <c r="A5" s="3">
        <v>2</v>
      </c>
      <c r="B5" s="3">
        <v>200</v>
      </c>
      <c r="C5" s="3">
        <v>100</v>
      </c>
      <c r="D5" s="4">
        <v>0.02</v>
      </c>
      <c r="E5" s="3">
        <v>10</v>
      </c>
      <c r="F5" s="4">
        <v>0</v>
      </c>
      <c r="G5" s="4">
        <v>363.34</v>
      </c>
      <c r="H5" s="4">
        <v>117.49</v>
      </c>
      <c r="I5" s="4"/>
      <c r="J5" s="4">
        <f t="shared" si="0"/>
        <v>11.748999999999999</v>
      </c>
      <c r="K5" s="5">
        <f t="shared" si="1"/>
        <v>2.1783803852969901</v>
      </c>
      <c r="L5" s="5">
        <f t="shared" si="2"/>
        <v>1.9115005558454143</v>
      </c>
      <c r="M5" s="5">
        <f t="shared" si="3"/>
        <v>2.462740380767555</v>
      </c>
      <c r="N5" s="5">
        <f t="shared" si="4"/>
        <v>0.26687982945157573</v>
      </c>
      <c r="O5" s="5">
        <f t="shared" si="5"/>
        <v>0.2843599954705649</v>
      </c>
    </row>
    <row r="6" spans="1:15" ht="15.6" customHeight="1" x14ac:dyDescent="0.3">
      <c r="A6" s="3">
        <v>2</v>
      </c>
      <c r="B6" s="3">
        <v>200</v>
      </c>
      <c r="C6" s="3">
        <v>100</v>
      </c>
      <c r="D6" s="4">
        <v>0.03</v>
      </c>
      <c r="E6" s="3">
        <v>10</v>
      </c>
      <c r="F6" s="4">
        <v>0</v>
      </c>
      <c r="G6" s="4">
        <v>332.71</v>
      </c>
      <c r="H6" s="4">
        <v>111.93</v>
      </c>
      <c r="I6" s="4"/>
      <c r="J6" s="4">
        <f t="shared" si="0"/>
        <v>11.193000000000001</v>
      </c>
      <c r="K6" s="5">
        <f t="shared" si="1"/>
        <v>2.5608539607462828</v>
      </c>
      <c r="L6" s="5">
        <f t="shared" si="2"/>
        <v>2.2835339246814863</v>
      </c>
      <c r="M6" s="5">
        <f t="shared" si="3"/>
        <v>2.8570975893800665</v>
      </c>
      <c r="N6" s="5">
        <f t="shared" si="4"/>
        <v>0.27732003606479649</v>
      </c>
      <c r="O6" s="5">
        <f t="shared" si="5"/>
        <v>0.29624362863378373</v>
      </c>
    </row>
    <row r="7" spans="1:15" ht="15.6" customHeight="1" x14ac:dyDescent="0.3">
      <c r="A7" s="3">
        <v>2</v>
      </c>
      <c r="B7" s="3">
        <v>200</v>
      </c>
      <c r="C7" s="3">
        <v>100</v>
      </c>
      <c r="D7" s="4">
        <v>0.04</v>
      </c>
      <c r="E7" s="3">
        <v>10</v>
      </c>
      <c r="F7" s="4">
        <v>0</v>
      </c>
      <c r="G7" s="4">
        <v>351.16</v>
      </c>
      <c r="H7" s="4">
        <v>115.44</v>
      </c>
      <c r="I7" s="4"/>
      <c r="J7" s="4">
        <f t="shared" si="0"/>
        <v>11.544</v>
      </c>
      <c r="K7" s="5">
        <f t="shared" si="1"/>
        <v>2.3264621003065078</v>
      </c>
      <c r="L7" s="5">
        <f t="shared" si="2"/>
        <v>2.0552794050525875</v>
      </c>
      <c r="M7" s="5">
        <f t="shared" si="3"/>
        <v>2.6157124626451438</v>
      </c>
      <c r="N7" s="5">
        <f t="shared" si="4"/>
        <v>0.27118269525392025</v>
      </c>
      <c r="O7" s="5">
        <f t="shared" si="5"/>
        <v>0.28925036233863599</v>
      </c>
    </row>
    <row r="8" spans="1:15" ht="15.6" customHeight="1" x14ac:dyDescent="0.3">
      <c r="A8" s="3">
        <v>2</v>
      </c>
      <c r="B8" s="3">
        <v>200</v>
      </c>
      <c r="C8" s="3">
        <v>100</v>
      </c>
      <c r="D8" s="4">
        <v>0.05</v>
      </c>
      <c r="E8" s="3">
        <v>10</v>
      </c>
      <c r="F8" s="4">
        <v>0</v>
      </c>
      <c r="G8" s="4">
        <v>376.39</v>
      </c>
      <c r="H8" s="4">
        <v>120.58</v>
      </c>
      <c r="I8" s="4"/>
      <c r="J8" s="4">
        <f t="shared" si="0"/>
        <v>12.058</v>
      </c>
      <c r="K8" s="5">
        <f t="shared" si="1"/>
        <v>2.0251317389226764</v>
      </c>
      <c r="L8" s="5">
        <f t="shared" si="2"/>
        <v>1.7606554958334542</v>
      </c>
      <c r="M8" s="5">
        <f t="shared" si="3"/>
        <v>2.3067644704574004</v>
      </c>
      <c r="N8" s="5">
        <f t="shared" si="4"/>
        <v>0.26447624308922224</v>
      </c>
      <c r="O8" s="5">
        <f t="shared" si="5"/>
        <v>0.28163273153472401</v>
      </c>
    </row>
    <row r="9" spans="1:15" ht="15.6" customHeight="1" x14ac:dyDescent="0.3">
      <c r="A9" s="3">
        <v>2</v>
      </c>
      <c r="B9" s="3">
        <v>200</v>
      </c>
      <c r="C9" s="3">
        <v>100</v>
      </c>
      <c r="D9" s="4">
        <v>0.06</v>
      </c>
      <c r="E9" s="3">
        <v>10</v>
      </c>
      <c r="F9" s="4">
        <v>0</v>
      </c>
      <c r="G9" s="4">
        <v>387.63</v>
      </c>
      <c r="H9" s="4">
        <v>111.75</v>
      </c>
      <c r="I9" s="4"/>
      <c r="J9" s="4">
        <f t="shared" si="0"/>
        <v>11.175000000000001</v>
      </c>
      <c r="K9" s="5">
        <f t="shared" si="1"/>
        <v>1.8973386918171866</v>
      </c>
      <c r="L9" s="5">
        <f t="shared" si="2"/>
        <v>1.6586234760719329</v>
      </c>
      <c r="M9" s="5">
        <f t="shared" si="3"/>
        <v>2.149942268294021</v>
      </c>
      <c r="N9" s="5">
        <f t="shared" si="4"/>
        <v>0.23871521574525367</v>
      </c>
      <c r="O9" s="5">
        <f t="shared" si="5"/>
        <v>0.2526035764768344</v>
      </c>
    </row>
    <row r="10" spans="1:15" ht="15.6" customHeight="1" x14ac:dyDescent="0.3">
      <c r="A10" s="3">
        <v>2</v>
      </c>
      <c r="B10" s="3">
        <v>200</v>
      </c>
      <c r="C10" s="3">
        <v>100</v>
      </c>
      <c r="D10" s="4">
        <v>7.0000000000000007E-2</v>
      </c>
      <c r="E10" s="3">
        <v>10</v>
      </c>
      <c r="F10" s="4">
        <v>0</v>
      </c>
      <c r="G10" s="4">
        <v>383.43</v>
      </c>
      <c r="H10" s="4">
        <v>110.28</v>
      </c>
      <c r="I10" s="4"/>
      <c r="J10" s="4">
        <f t="shared" si="0"/>
        <v>11.028</v>
      </c>
      <c r="K10" s="5">
        <f t="shared" si="1"/>
        <v>1.9446516081721699</v>
      </c>
      <c r="L10" s="5">
        <f t="shared" si="2"/>
        <v>1.7064810357274227</v>
      </c>
      <c r="M10" s="5">
        <f t="shared" si="3"/>
        <v>2.1966453861894473</v>
      </c>
      <c r="N10" s="5">
        <f t="shared" si="4"/>
        <v>0.23817057244474715</v>
      </c>
      <c r="O10" s="5">
        <f t="shared" si="5"/>
        <v>0.2519937780172774</v>
      </c>
    </row>
    <row r="11" spans="1:15" ht="15.6" customHeight="1" x14ac:dyDescent="0.3">
      <c r="A11" s="3">
        <v>2</v>
      </c>
      <c r="B11" s="3">
        <v>200</v>
      </c>
      <c r="C11" s="3">
        <v>100</v>
      </c>
      <c r="D11" s="4">
        <v>0.08</v>
      </c>
      <c r="E11" s="3">
        <v>10</v>
      </c>
      <c r="F11" s="4">
        <v>0</v>
      </c>
      <c r="G11" s="4">
        <v>422.28</v>
      </c>
      <c r="H11" s="4">
        <v>100.77</v>
      </c>
      <c r="I11" s="4"/>
      <c r="J11" s="4">
        <f t="shared" si="0"/>
        <v>10.077</v>
      </c>
      <c r="K11" s="5">
        <f t="shared" si="1"/>
        <v>1.5255073750082713</v>
      </c>
      <c r="L11" s="5">
        <f t="shared" si="2"/>
        <v>1.3269860113474932</v>
      </c>
      <c r="M11" s="5">
        <f t="shared" si="3"/>
        <v>1.7335398971122797</v>
      </c>
      <c r="N11" s="5">
        <f t="shared" si="4"/>
        <v>0.19852136366077811</v>
      </c>
      <c r="O11" s="5">
        <f t="shared" si="5"/>
        <v>0.20803252210400847</v>
      </c>
    </row>
    <row r="12" spans="1:15" ht="15.6" customHeight="1" x14ac:dyDescent="0.3">
      <c r="A12" s="3">
        <v>2</v>
      </c>
      <c r="B12" s="3">
        <v>200</v>
      </c>
      <c r="C12" s="3">
        <v>100</v>
      </c>
      <c r="D12" s="4">
        <v>0.09</v>
      </c>
      <c r="E12" s="3">
        <v>10</v>
      </c>
      <c r="F12" s="4">
        <v>0</v>
      </c>
      <c r="G12" s="4">
        <v>461.32</v>
      </c>
      <c r="H12" s="4">
        <v>85.54</v>
      </c>
      <c r="I12" s="4"/>
      <c r="J12" s="4">
        <f t="shared" si="0"/>
        <v>8.5540000000000003</v>
      </c>
      <c r="K12" s="5">
        <f t="shared" si="1"/>
        <v>1.1414896702759467</v>
      </c>
      <c r="L12" s="5">
        <f t="shared" si="2"/>
        <v>0.98645369480016454</v>
      </c>
      <c r="M12" s="5">
        <f t="shared" si="3"/>
        <v>1.3022657178994854</v>
      </c>
      <c r="N12" s="5">
        <f t="shared" si="4"/>
        <v>0.15503597547578218</v>
      </c>
      <c r="O12" s="5">
        <f t="shared" si="5"/>
        <v>0.1607760476235387</v>
      </c>
    </row>
    <row r="13" spans="1:15" ht="15.6" customHeight="1" x14ac:dyDescent="0.3">
      <c r="A13" s="3">
        <v>2</v>
      </c>
      <c r="B13" s="3">
        <v>200</v>
      </c>
      <c r="C13" s="3">
        <v>100</v>
      </c>
      <c r="D13" s="4">
        <v>0.1</v>
      </c>
      <c r="E13" s="3">
        <v>10</v>
      </c>
      <c r="F13" s="4">
        <v>0</v>
      </c>
      <c r="G13" s="4">
        <v>491.47</v>
      </c>
      <c r="H13" s="4">
        <v>77.27</v>
      </c>
      <c r="I13" s="4"/>
      <c r="J13" s="4">
        <f t="shared" si="0"/>
        <v>7.7269999999999994</v>
      </c>
      <c r="K13" s="5">
        <f t="shared" si="1"/>
        <v>0.86654237334711826</v>
      </c>
      <c r="L13" s="5">
        <f t="shared" si="2"/>
        <v>0.73473274604884975</v>
      </c>
      <c r="M13" s="5">
        <f t="shared" si="3"/>
        <v>1.002478013120081</v>
      </c>
      <c r="N13" s="5">
        <f t="shared" si="4"/>
        <v>0.13180962729826851</v>
      </c>
      <c r="O13" s="5">
        <f t="shared" si="5"/>
        <v>0.13593563977296275</v>
      </c>
    </row>
    <row r="14" spans="1:15" ht="15.6" customHeight="1" x14ac:dyDescent="0.3">
      <c r="A14" s="3">
        <v>2</v>
      </c>
      <c r="B14" s="3">
        <v>200</v>
      </c>
      <c r="C14" s="3">
        <v>100</v>
      </c>
      <c r="D14" s="4">
        <v>0.11</v>
      </c>
      <c r="E14" s="3">
        <v>10</v>
      </c>
      <c r="F14" s="4">
        <v>0</v>
      </c>
      <c r="G14" s="4">
        <v>504.81</v>
      </c>
      <c r="H14" s="4">
        <v>65.27</v>
      </c>
      <c r="I14" s="4"/>
      <c r="J14" s="4">
        <f t="shared" si="0"/>
        <v>6.5269999999999992</v>
      </c>
      <c r="K14" s="5">
        <f t="shared" si="1"/>
        <v>0.75023300934802029</v>
      </c>
      <c r="L14" s="5">
        <f t="shared" si="2"/>
        <v>0.64154532691488619</v>
      </c>
      <c r="M14" s="5">
        <f t="shared" si="3"/>
        <v>0.86171071150838885</v>
      </c>
      <c r="N14" s="5">
        <f t="shared" si="4"/>
        <v>0.10868768243313409</v>
      </c>
      <c r="O14" s="5">
        <f t="shared" si="5"/>
        <v>0.11147770216036856</v>
      </c>
    </row>
    <row r="15" spans="1:15" ht="15.6" customHeight="1" x14ac:dyDescent="0.3">
      <c r="A15" s="3">
        <v>2</v>
      </c>
      <c r="B15" s="3">
        <v>200</v>
      </c>
      <c r="C15" s="3">
        <v>100</v>
      </c>
      <c r="D15" s="4">
        <v>0.12</v>
      </c>
      <c r="E15" s="3">
        <v>10</v>
      </c>
      <c r="F15" s="4">
        <v>0</v>
      </c>
      <c r="G15" s="4">
        <v>532.07000000000005</v>
      </c>
      <c r="H15" s="4">
        <v>47.4</v>
      </c>
      <c r="I15" s="4"/>
      <c r="J15" s="4">
        <f t="shared" si="0"/>
        <v>4.74</v>
      </c>
      <c r="K15" s="5">
        <f t="shared" si="1"/>
        <v>0.52182477836963337</v>
      </c>
      <c r="L15" s="5">
        <f t="shared" si="2"/>
        <v>0.44664766016904367</v>
      </c>
      <c r="M15" s="5">
        <f t="shared" si="3"/>
        <v>0.5983261826222408</v>
      </c>
      <c r="N15" s="5">
        <f t="shared" si="4"/>
        <v>7.5177118200589699E-2</v>
      </c>
      <c r="O15" s="5">
        <f t="shared" si="5"/>
        <v>7.650140425260743E-2</v>
      </c>
    </row>
    <row r="16" spans="1:15" ht="15.6" customHeight="1" x14ac:dyDescent="0.3">
      <c r="A16" s="3">
        <v>2</v>
      </c>
      <c r="B16" s="3">
        <v>200</v>
      </c>
      <c r="C16" s="3">
        <v>100</v>
      </c>
      <c r="D16" s="4">
        <v>0.13</v>
      </c>
      <c r="E16" s="3">
        <v>10</v>
      </c>
      <c r="F16" s="4">
        <v>0</v>
      </c>
      <c r="G16" s="4">
        <v>556.1</v>
      </c>
      <c r="H16" s="4">
        <v>30.96</v>
      </c>
      <c r="I16" s="4"/>
      <c r="J16" s="4">
        <f t="shared" si="0"/>
        <v>3.0960000000000001</v>
      </c>
      <c r="K16" s="5">
        <f t="shared" si="1"/>
        <v>0.32998355306743266</v>
      </c>
      <c r="L16" s="5">
        <f t="shared" si="2"/>
        <v>0.28285005924546031</v>
      </c>
      <c r="M16" s="5">
        <f t="shared" si="3"/>
        <v>0.3776341991473916</v>
      </c>
      <c r="N16" s="5">
        <f t="shared" si="4"/>
        <v>4.713349382197235E-2</v>
      </c>
      <c r="O16" s="5">
        <f t="shared" si="5"/>
        <v>4.7650646079958947E-2</v>
      </c>
    </row>
    <row r="17" spans="1:15" ht="15.6" customHeight="1" x14ac:dyDescent="0.3">
      <c r="A17" s="3">
        <v>2</v>
      </c>
      <c r="B17" s="3">
        <v>200</v>
      </c>
      <c r="C17" s="3">
        <v>100</v>
      </c>
      <c r="D17" s="4">
        <v>0.14000000000000001</v>
      </c>
      <c r="E17" s="3">
        <v>10</v>
      </c>
      <c r="F17" s="4">
        <v>0</v>
      </c>
      <c r="G17" s="4">
        <v>555.45000000000005</v>
      </c>
      <c r="H17" s="4">
        <v>28.14</v>
      </c>
      <c r="I17" s="4"/>
      <c r="J17" s="4">
        <f t="shared" si="0"/>
        <v>2.8140000000000001</v>
      </c>
      <c r="K17" s="5">
        <f t="shared" si="1"/>
        <v>0.33506279278519768</v>
      </c>
      <c r="L17" s="5">
        <f t="shared" si="2"/>
        <v>0.29215144349638278</v>
      </c>
      <c r="M17" s="5">
        <f t="shared" si="3"/>
        <v>0.37840237110809283</v>
      </c>
      <c r="N17" s="5">
        <f t="shared" si="4"/>
        <v>4.2911349288814904E-2</v>
      </c>
      <c r="O17" s="5">
        <f t="shared" si="5"/>
        <v>4.3339578322895145E-2</v>
      </c>
    </row>
    <row r="18" spans="1:15" ht="15.6" customHeight="1" x14ac:dyDescent="0.3">
      <c r="A18" s="3">
        <v>2</v>
      </c>
      <c r="B18" s="3">
        <v>200</v>
      </c>
      <c r="C18" s="3">
        <v>100</v>
      </c>
      <c r="D18" s="4">
        <v>0.15</v>
      </c>
      <c r="E18" s="3">
        <v>10</v>
      </c>
      <c r="F18" s="4">
        <v>0</v>
      </c>
      <c r="G18" s="4">
        <v>568.66</v>
      </c>
      <c r="H18" s="4">
        <v>18.920000000000002</v>
      </c>
      <c r="I18" s="4"/>
      <c r="J18" s="4">
        <f t="shared" si="0"/>
        <v>1.8920000000000001</v>
      </c>
      <c r="K18" s="5">
        <f t="shared" si="1"/>
        <v>0.23298569678925088</v>
      </c>
      <c r="L18" s="5">
        <f t="shared" si="2"/>
        <v>0.20475662385244039</v>
      </c>
      <c r="M18" s="5">
        <f t="shared" si="3"/>
        <v>0.26139945939005638</v>
      </c>
      <c r="N18" s="5">
        <f t="shared" si="4"/>
        <v>2.8229072936810484E-2</v>
      </c>
      <c r="O18" s="5">
        <f t="shared" si="5"/>
        <v>2.8413762600805498E-2</v>
      </c>
    </row>
    <row r="19" spans="1:15" ht="15.6" customHeight="1" x14ac:dyDescent="0.3">
      <c r="A19" s="3">
        <v>2</v>
      </c>
      <c r="B19" s="3">
        <v>200</v>
      </c>
      <c r="C19" s="3">
        <v>100</v>
      </c>
      <c r="D19" s="4">
        <v>0.16</v>
      </c>
      <c r="E19" s="3">
        <v>10</v>
      </c>
      <c r="F19" s="4">
        <v>0</v>
      </c>
      <c r="G19" s="4">
        <v>572.49</v>
      </c>
      <c r="H19" s="4">
        <v>17.52</v>
      </c>
      <c r="I19" s="4"/>
      <c r="J19" s="4">
        <f t="shared" si="0"/>
        <v>1.752</v>
      </c>
      <c r="K19" s="5">
        <f t="shared" si="1"/>
        <v>0.20383345367786343</v>
      </c>
      <c r="L19" s="5">
        <f t="shared" si="2"/>
        <v>0.17786133811935589</v>
      </c>
      <c r="M19" s="5">
        <f t="shared" si="3"/>
        <v>0.22996182522119452</v>
      </c>
      <c r="N19" s="5">
        <f t="shared" si="4"/>
        <v>2.5972115558507536E-2</v>
      </c>
      <c r="O19" s="5">
        <f t="shared" si="5"/>
        <v>2.6128371543331086E-2</v>
      </c>
    </row>
    <row r="20" spans="1:15" ht="15.6" customHeight="1" x14ac:dyDescent="0.3">
      <c r="A20" s="3">
        <v>2</v>
      </c>
      <c r="B20" s="3">
        <v>200</v>
      </c>
      <c r="C20" s="3">
        <v>100</v>
      </c>
      <c r="D20" s="4">
        <v>0.17</v>
      </c>
      <c r="E20" s="3">
        <v>10</v>
      </c>
      <c r="F20" s="4">
        <v>0</v>
      </c>
      <c r="G20" s="4">
        <v>575.12</v>
      </c>
      <c r="H20" s="4">
        <v>12.96</v>
      </c>
      <c r="I20" s="4"/>
      <c r="J20" s="4">
        <f t="shared" si="0"/>
        <v>1.296</v>
      </c>
      <c r="K20" s="5">
        <f t="shared" si="1"/>
        <v>0.18392779780165011</v>
      </c>
      <c r="L20" s="5">
        <f t="shared" si="2"/>
        <v>0.16478834181674512</v>
      </c>
      <c r="M20" s="5">
        <f t="shared" si="3"/>
        <v>0.20315197530909909</v>
      </c>
      <c r="N20" s="5">
        <f t="shared" si="4"/>
        <v>1.9139455984904991E-2</v>
      </c>
      <c r="O20" s="5">
        <f t="shared" si="5"/>
        <v>1.9224177507448981E-2</v>
      </c>
    </row>
    <row r="21" spans="1:15" ht="15.6" customHeight="1" x14ac:dyDescent="0.3">
      <c r="A21" s="3">
        <v>2</v>
      </c>
      <c r="B21" s="3">
        <v>200</v>
      </c>
      <c r="C21" s="3">
        <v>100</v>
      </c>
      <c r="D21" s="4">
        <v>0.18</v>
      </c>
      <c r="E21" s="3">
        <v>10</v>
      </c>
      <c r="F21" s="4">
        <v>0</v>
      </c>
      <c r="G21" s="4">
        <v>577.48</v>
      </c>
      <c r="H21" s="4">
        <v>12.66</v>
      </c>
      <c r="I21" s="4"/>
      <c r="J21" s="4">
        <f t="shared" si="0"/>
        <v>1.266</v>
      </c>
      <c r="K21" s="5">
        <f t="shared" si="1"/>
        <v>0.16614302581447077</v>
      </c>
      <c r="L21" s="5">
        <f t="shared" si="2"/>
        <v>0.14752190782415106</v>
      </c>
      <c r="M21" s="5">
        <f t="shared" si="3"/>
        <v>0.18484432896089464</v>
      </c>
      <c r="N21" s="5">
        <f t="shared" si="4"/>
        <v>1.8621117990319708E-2</v>
      </c>
      <c r="O21" s="5">
        <f t="shared" si="5"/>
        <v>1.8701303146423875E-2</v>
      </c>
    </row>
    <row r="22" spans="1:15" ht="15.6" customHeight="1" x14ac:dyDescent="0.3">
      <c r="A22" s="3">
        <v>2</v>
      </c>
      <c r="B22" s="3">
        <v>200</v>
      </c>
      <c r="C22" s="3">
        <v>100</v>
      </c>
      <c r="D22" s="4">
        <v>0.19</v>
      </c>
      <c r="E22" s="3">
        <v>10</v>
      </c>
      <c r="F22" s="4">
        <v>0</v>
      </c>
      <c r="G22" s="4">
        <v>582.65</v>
      </c>
      <c r="H22" s="4">
        <v>5.96</v>
      </c>
      <c r="I22" s="4"/>
      <c r="J22" s="4">
        <f t="shared" si="0"/>
        <v>0.59599999999999997</v>
      </c>
      <c r="K22" s="5">
        <f t="shared" si="1"/>
        <v>0.12743499593632587</v>
      </c>
      <c r="L22" s="5">
        <f t="shared" si="2"/>
        <v>0.11873650541636899</v>
      </c>
      <c r="M22" s="5">
        <f t="shared" si="3"/>
        <v>0.13615094364652694</v>
      </c>
      <c r="N22" s="5">
        <f t="shared" si="4"/>
        <v>8.6984905199568863E-3</v>
      </c>
      <c r="O22" s="5">
        <f t="shared" si="5"/>
        <v>8.7159477102010663E-3</v>
      </c>
    </row>
    <row r="23" spans="1:15" ht="15.6" customHeight="1" x14ac:dyDescent="0.3">
      <c r="A23" s="3">
        <v>2</v>
      </c>
      <c r="B23" s="3">
        <v>200</v>
      </c>
      <c r="C23" s="3">
        <v>100</v>
      </c>
      <c r="D23" s="4">
        <v>0.2</v>
      </c>
      <c r="E23" s="3">
        <v>10</v>
      </c>
      <c r="F23" s="4">
        <v>0</v>
      </c>
      <c r="G23" s="4">
        <v>584.04999999999995</v>
      </c>
      <c r="H23" s="4">
        <v>6.71</v>
      </c>
      <c r="I23" s="4"/>
      <c r="J23" s="4">
        <f t="shared" si="0"/>
        <v>0.67100000000000004</v>
      </c>
      <c r="K23" s="5">
        <f t="shared" si="1"/>
        <v>0.11701222116142211</v>
      </c>
      <c r="L23" s="5">
        <f t="shared" si="2"/>
        <v>0.1072438003103911</v>
      </c>
      <c r="M23" s="5">
        <f t="shared" si="3"/>
        <v>0.12680266329143317</v>
      </c>
      <c r="N23" s="5">
        <f t="shared" si="4"/>
        <v>9.7684208510310094E-3</v>
      </c>
      <c r="O23" s="5">
        <f t="shared" si="5"/>
        <v>9.7904421300110539E-3</v>
      </c>
    </row>
    <row r="24" spans="1:15" ht="15.6" customHeight="1" x14ac:dyDescent="0.3">
      <c r="A24" s="13" t="s">
        <v>15</v>
      </c>
      <c r="B24" s="7"/>
      <c r="C24" s="7"/>
      <c r="D24" s="8"/>
      <c r="E24" s="7"/>
      <c r="F24" s="8"/>
      <c r="G24" s="8"/>
      <c r="H24" s="8"/>
      <c r="I24" s="8"/>
      <c r="J24" s="9"/>
      <c r="K24" s="10"/>
      <c r="L24" s="10"/>
      <c r="M24" s="10"/>
      <c r="N24" s="10"/>
      <c r="O24" s="10"/>
    </row>
    <row r="25" spans="1:15" ht="15.6" customHeight="1" x14ac:dyDescent="0.3">
      <c r="A25" s="3">
        <v>2</v>
      </c>
      <c r="B25" s="3">
        <v>200</v>
      </c>
      <c r="C25" s="3">
        <v>400</v>
      </c>
      <c r="D25" s="4">
        <v>0</v>
      </c>
      <c r="E25" s="3">
        <v>10</v>
      </c>
      <c r="F25" s="4">
        <v>0</v>
      </c>
      <c r="G25" s="4">
        <v>386.94</v>
      </c>
      <c r="H25" s="4">
        <v>22.38</v>
      </c>
      <c r="I25" s="4"/>
      <c r="J25" s="4">
        <f t="shared" ref="J25:J45" si="6">H25/SQRT(C25)</f>
        <v>1.119</v>
      </c>
      <c r="K25" s="5">
        <f t="shared" ref="K25:K45" si="7">-10*LOG10(G25/(B25*3))</f>
        <v>1.9050762306265814</v>
      </c>
      <c r="L25" s="5">
        <f t="shared" ref="L25:L45" si="8">-10*LOG10((G25+1.96*J25)/(B25*3))</f>
        <v>1.8805292029437781</v>
      </c>
      <c r="M25" s="5">
        <f t="shared" ref="M25:M45" si="9">-10*LOG10((G25-1.96*J25)/(B25*3))</f>
        <v>1.9297627911221595</v>
      </c>
      <c r="N25" s="5">
        <f t="shared" ref="N25:N45" si="10">K25-L25</f>
        <v>2.4547027682803257E-2</v>
      </c>
      <c r="O25" s="5">
        <f t="shared" ref="O25:O45" si="11">M25-K25</f>
        <v>2.4686560495578158E-2</v>
      </c>
    </row>
    <row r="26" spans="1:15" ht="15.6" customHeight="1" x14ac:dyDescent="0.3">
      <c r="A26" s="3">
        <v>2</v>
      </c>
      <c r="B26" s="3">
        <v>200</v>
      </c>
      <c r="C26" s="3">
        <v>400</v>
      </c>
      <c r="D26" s="4">
        <v>0.01</v>
      </c>
      <c r="E26" s="3">
        <v>10</v>
      </c>
      <c r="F26" s="3">
        <v>0</v>
      </c>
      <c r="G26" s="4">
        <v>387.17</v>
      </c>
      <c r="H26" s="4">
        <v>21.75</v>
      </c>
      <c r="I26" s="4"/>
      <c r="J26" s="4">
        <f t="shared" si="6"/>
        <v>1.0874999999999999</v>
      </c>
      <c r="K26" s="5">
        <f t="shared" si="7"/>
        <v>1.9024955190022124</v>
      </c>
      <c r="L26" s="5">
        <f t="shared" si="8"/>
        <v>1.8786517330183452</v>
      </c>
      <c r="M26" s="5">
        <f t="shared" si="9"/>
        <v>1.9264709359828027</v>
      </c>
      <c r="N26" s="5">
        <f t="shared" si="10"/>
        <v>2.3843785983867161E-2</v>
      </c>
      <c r="O26" s="5">
        <f t="shared" si="11"/>
        <v>2.3975416980590358E-2</v>
      </c>
    </row>
    <row r="27" spans="1:15" ht="15.6" customHeight="1" x14ac:dyDescent="0.3">
      <c r="A27" s="3">
        <v>2</v>
      </c>
      <c r="B27" s="3">
        <v>200</v>
      </c>
      <c r="C27" s="3">
        <v>400</v>
      </c>
      <c r="D27" s="4">
        <v>0.02</v>
      </c>
      <c r="E27" s="3">
        <v>10</v>
      </c>
      <c r="F27" s="4">
        <v>0</v>
      </c>
      <c r="G27" s="4">
        <v>390.4</v>
      </c>
      <c r="H27" s="4">
        <v>23.97</v>
      </c>
      <c r="I27" s="4"/>
      <c r="J27" s="4">
        <f t="shared" si="6"/>
        <v>1.1984999999999999</v>
      </c>
      <c r="K27" s="5">
        <f t="shared" si="7"/>
        <v>1.8664144138898946</v>
      </c>
      <c r="L27" s="5">
        <f t="shared" si="8"/>
        <v>1.840360961046092</v>
      </c>
      <c r="M27" s="5">
        <f t="shared" si="9"/>
        <v>1.8926251059152839</v>
      </c>
      <c r="N27" s="5">
        <f t="shared" si="10"/>
        <v>2.605345284380256E-2</v>
      </c>
      <c r="O27" s="5">
        <f t="shared" si="11"/>
        <v>2.6210692025389282E-2</v>
      </c>
    </row>
    <row r="28" spans="1:15" ht="15.6" customHeight="1" x14ac:dyDescent="0.3">
      <c r="A28" s="3">
        <v>2</v>
      </c>
      <c r="B28" s="3">
        <v>200</v>
      </c>
      <c r="C28" s="3">
        <v>400</v>
      </c>
      <c r="D28" s="4">
        <v>0.03</v>
      </c>
      <c r="E28" s="3">
        <v>10</v>
      </c>
      <c r="F28" s="4">
        <v>0</v>
      </c>
      <c r="G28" s="4">
        <v>396.61</v>
      </c>
      <c r="H28" s="4">
        <v>24.11</v>
      </c>
      <c r="I28" s="4"/>
      <c r="J28" s="4">
        <f t="shared" si="6"/>
        <v>1.2055</v>
      </c>
      <c r="K28" s="5">
        <f t="shared" si="7"/>
        <v>1.7978759021161705</v>
      </c>
      <c r="L28" s="5">
        <f t="shared" si="8"/>
        <v>1.7720798351657012</v>
      </c>
      <c r="M28" s="5">
        <f t="shared" si="9"/>
        <v>1.8238261076169213</v>
      </c>
      <c r="N28" s="5">
        <f t="shared" si="10"/>
        <v>2.5796066950469321E-2</v>
      </c>
      <c r="O28" s="5">
        <f t="shared" si="11"/>
        <v>2.5950205500750778E-2</v>
      </c>
    </row>
    <row r="29" spans="1:15" ht="15.6" customHeight="1" x14ac:dyDescent="0.3">
      <c r="A29" s="3">
        <v>2</v>
      </c>
      <c r="B29" s="3">
        <v>200</v>
      </c>
      <c r="C29" s="3">
        <v>400</v>
      </c>
      <c r="D29" s="4">
        <v>0.04</v>
      </c>
      <c r="E29" s="3">
        <v>10</v>
      </c>
      <c r="F29" s="4">
        <v>0</v>
      </c>
      <c r="G29" s="4">
        <v>389.86</v>
      </c>
      <c r="H29" s="4">
        <v>27.15</v>
      </c>
      <c r="I29" s="4"/>
      <c r="J29" s="4">
        <f t="shared" si="6"/>
        <v>1.3574999999999999</v>
      </c>
      <c r="K29" s="5">
        <f t="shared" si="7"/>
        <v>1.8724257192924607</v>
      </c>
      <c r="L29" s="5">
        <f t="shared" si="8"/>
        <v>1.8428868571326311</v>
      </c>
      <c r="M29" s="5">
        <f t="shared" si="9"/>
        <v>1.9021668688781475</v>
      </c>
      <c r="N29" s="5">
        <f t="shared" si="10"/>
        <v>2.9538862159829593E-2</v>
      </c>
      <c r="O29" s="5">
        <f t="shared" si="11"/>
        <v>2.9741149585686744E-2</v>
      </c>
    </row>
    <row r="30" spans="1:15" ht="15.6" customHeight="1" x14ac:dyDescent="0.3">
      <c r="A30" s="3">
        <v>2</v>
      </c>
      <c r="B30" s="3">
        <v>200</v>
      </c>
      <c r="C30" s="3">
        <v>400</v>
      </c>
      <c r="D30" s="4">
        <v>0.05</v>
      </c>
      <c r="E30" s="3">
        <v>10</v>
      </c>
      <c r="F30" s="4">
        <v>0</v>
      </c>
      <c r="G30" s="4">
        <v>357.22</v>
      </c>
      <c r="H30" s="4">
        <v>35.81</v>
      </c>
      <c r="I30" s="4"/>
      <c r="J30" s="4">
        <f t="shared" si="6"/>
        <v>1.7905000000000002</v>
      </c>
      <c r="K30" s="5">
        <f t="shared" si="7"/>
        <v>2.2521548424753473</v>
      </c>
      <c r="L30" s="5">
        <f t="shared" si="8"/>
        <v>2.20969735034353</v>
      </c>
      <c r="M30" s="5">
        <f t="shared" si="9"/>
        <v>2.2950315087944504</v>
      </c>
      <c r="N30" s="5">
        <f t="shared" si="10"/>
        <v>4.2457492131817265E-2</v>
      </c>
      <c r="O30" s="5">
        <f t="shared" si="11"/>
        <v>4.2876666319103141E-2</v>
      </c>
    </row>
    <row r="31" spans="1:15" ht="15.6" customHeight="1" x14ac:dyDescent="0.3">
      <c r="A31" s="3">
        <v>2</v>
      </c>
      <c r="B31" s="3">
        <v>200</v>
      </c>
      <c r="C31" s="3">
        <v>400</v>
      </c>
      <c r="D31" s="4">
        <v>0.06</v>
      </c>
      <c r="E31" s="3">
        <v>10</v>
      </c>
      <c r="F31" s="4">
        <v>0</v>
      </c>
      <c r="G31" s="4">
        <v>300.81</v>
      </c>
      <c r="H31" s="4">
        <v>50.06</v>
      </c>
      <c r="I31" s="4"/>
      <c r="J31" s="4">
        <f t="shared" si="6"/>
        <v>2.5030000000000001</v>
      </c>
      <c r="K31" s="5">
        <f t="shared" si="7"/>
        <v>2.9985898072258048</v>
      </c>
      <c r="L31" s="5">
        <f t="shared" si="8"/>
        <v>2.928332522291861</v>
      </c>
      <c r="M31" s="5">
        <f t="shared" si="9"/>
        <v>3.0700023831253809</v>
      </c>
      <c r="N31" s="5">
        <f t="shared" si="10"/>
        <v>7.0257284933943787E-2</v>
      </c>
      <c r="O31" s="5">
        <f t="shared" si="11"/>
        <v>7.1412575899576058E-2</v>
      </c>
    </row>
    <row r="32" spans="1:15" ht="15.6" customHeight="1" x14ac:dyDescent="0.3">
      <c r="A32" s="3">
        <v>2</v>
      </c>
      <c r="B32" s="3">
        <v>200</v>
      </c>
      <c r="C32" s="3">
        <v>400</v>
      </c>
      <c r="D32" s="4">
        <v>7.0000000000000007E-2</v>
      </c>
      <c r="E32" s="3">
        <v>10</v>
      </c>
      <c r="F32" s="4">
        <v>0</v>
      </c>
      <c r="G32" s="4">
        <v>236.63</v>
      </c>
      <c r="H32" s="4">
        <v>50.22</v>
      </c>
      <c r="I32" s="4"/>
      <c r="J32" s="4">
        <f t="shared" si="6"/>
        <v>2.5110000000000001</v>
      </c>
      <c r="K32" s="5">
        <f t="shared" si="7"/>
        <v>4.0408144665756875</v>
      </c>
      <c r="L32" s="5">
        <f t="shared" si="8"/>
        <v>3.9514140377036182</v>
      </c>
      <c r="M32" s="5">
        <f t="shared" si="9"/>
        <v>4.1320939709142648</v>
      </c>
      <c r="N32" s="5">
        <f t="shared" si="10"/>
        <v>8.9400428872069337E-2</v>
      </c>
      <c r="O32" s="5">
        <f t="shared" si="11"/>
        <v>9.1279504338577233E-2</v>
      </c>
    </row>
    <row r="33" spans="1:15" ht="15.6" customHeight="1" x14ac:dyDescent="0.3">
      <c r="A33" s="3">
        <v>2</v>
      </c>
      <c r="B33" s="3">
        <v>200</v>
      </c>
      <c r="C33" s="3">
        <v>400</v>
      </c>
      <c r="D33" s="4">
        <v>0.08</v>
      </c>
      <c r="E33" s="3">
        <v>10</v>
      </c>
      <c r="F33" s="3">
        <v>0</v>
      </c>
      <c r="G33" s="4">
        <v>196.82</v>
      </c>
      <c r="H33" s="4">
        <v>35.43</v>
      </c>
      <c r="I33" s="4"/>
      <c r="J33" s="4">
        <f t="shared" si="6"/>
        <v>1.7715000000000001</v>
      </c>
      <c r="K33" s="5">
        <f t="shared" si="7"/>
        <v>4.8408202291275284</v>
      </c>
      <c r="L33" s="5">
        <f t="shared" si="8"/>
        <v>4.7648734363427812</v>
      </c>
      <c r="M33" s="5">
        <f t="shared" si="9"/>
        <v>4.9181188077742757</v>
      </c>
      <c r="N33" s="5">
        <f t="shared" si="10"/>
        <v>7.5946792784747252E-2</v>
      </c>
      <c r="O33" s="5">
        <f t="shared" si="11"/>
        <v>7.7298578646747274E-2</v>
      </c>
    </row>
    <row r="34" spans="1:15" ht="15.6" customHeight="1" x14ac:dyDescent="0.3">
      <c r="A34" s="3">
        <v>2</v>
      </c>
      <c r="B34" s="3">
        <v>200</v>
      </c>
      <c r="C34" s="3">
        <v>400</v>
      </c>
      <c r="D34" s="4">
        <v>0.09</v>
      </c>
      <c r="E34" s="3">
        <v>10</v>
      </c>
      <c r="F34" s="4">
        <v>0</v>
      </c>
      <c r="G34" s="4">
        <v>182.44</v>
      </c>
      <c r="H34" s="4">
        <v>26.16</v>
      </c>
      <c r="I34" s="4"/>
      <c r="J34" s="4">
        <f t="shared" si="6"/>
        <v>1.3080000000000001</v>
      </c>
      <c r="K34" s="5">
        <f t="shared" si="7"/>
        <v>5.1703118681474294</v>
      </c>
      <c r="L34" s="5">
        <f t="shared" si="8"/>
        <v>5.1097088312766781</v>
      </c>
      <c r="M34" s="5">
        <f t="shared" si="9"/>
        <v>5.2317725641125348</v>
      </c>
      <c r="N34" s="5">
        <f t="shared" si="10"/>
        <v>6.0603036870751303E-2</v>
      </c>
      <c r="O34" s="5">
        <f t="shared" si="11"/>
        <v>6.1460695965105394E-2</v>
      </c>
    </row>
    <row r="35" spans="1:15" ht="15.6" customHeight="1" x14ac:dyDescent="0.3">
      <c r="A35" s="3">
        <v>2</v>
      </c>
      <c r="B35" s="3">
        <v>200</v>
      </c>
      <c r="C35" s="3">
        <v>400</v>
      </c>
      <c r="D35" s="4">
        <v>0.1</v>
      </c>
      <c r="E35" s="3">
        <v>10</v>
      </c>
      <c r="F35" s="3">
        <v>0</v>
      </c>
      <c r="G35" s="4">
        <v>176.26</v>
      </c>
      <c r="H35" s="4">
        <v>18.399999999999999</v>
      </c>
      <c r="I35" s="4"/>
      <c r="J35" s="4">
        <f t="shared" si="6"/>
        <v>0.91999999999999993</v>
      </c>
      <c r="K35" s="5">
        <f t="shared" si="7"/>
        <v>5.3199748459754304</v>
      </c>
      <c r="L35" s="5">
        <f t="shared" si="8"/>
        <v>5.2757707650327292</v>
      </c>
      <c r="M35" s="5">
        <f t="shared" si="9"/>
        <v>5.3646334828239715</v>
      </c>
      <c r="N35" s="5">
        <f t="shared" si="10"/>
        <v>4.4204080942701118E-2</v>
      </c>
      <c r="O35" s="5">
        <f t="shared" si="11"/>
        <v>4.46586368485411E-2</v>
      </c>
    </row>
    <row r="36" spans="1:15" ht="15.6" customHeight="1" x14ac:dyDescent="0.3">
      <c r="A36" s="3">
        <v>2</v>
      </c>
      <c r="B36" s="3">
        <v>200</v>
      </c>
      <c r="C36" s="3">
        <v>400</v>
      </c>
      <c r="D36" s="4">
        <v>0.11</v>
      </c>
      <c r="E36" s="3">
        <v>10</v>
      </c>
      <c r="F36" s="3">
        <v>0</v>
      </c>
      <c r="G36" s="4">
        <v>177.84</v>
      </c>
      <c r="H36" s="4">
        <v>18.350000000000001</v>
      </c>
      <c r="I36" s="4"/>
      <c r="J36" s="4">
        <f t="shared" si="6"/>
        <v>0.91750000000000009</v>
      </c>
      <c r="K36" s="5">
        <f t="shared" si="7"/>
        <v>5.2812180069270944</v>
      </c>
      <c r="L36" s="5">
        <f t="shared" si="8"/>
        <v>5.2375231390229979</v>
      </c>
      <c r="M36" s="5">
        <f t="shared" si="9"/>
        <v>5.3253569657627162</v>
      </c>
      <c r="N36" s="5">
        <f t="shared" si="10"/>
        <v>4.369486790409649E-2</v>
      </c>
      <c r="O36" s="5">
        <f t="shared" si="11"/>
        <v>4.41389588356218E-2</v>
      </c>
    </row>
    <row r="37" spans="1:15" ht="15.6" customHeight="1" x14ac:dyDescent="0.3">
      <c r="A37" s="3">
        <v>2</v>
      </c>
      <c r="B37" s="3">
        <v>200</v>
      </c>
      <c r="C37" s="3">
        <v>400</v>
      </c>
      <c r="D37" s="4">
        <v>0.12</v>
      </c>
      <c r="E37" s="3">
        <v>10</v>
      </c>
      <c r="F37" s="4">
        <v>0</v>
      </c>
      <c r="G37" s="4">
        <v>181.56</v>
      </c>
      <c r="H37" s="4">
        <v>15.8</v>
      </c>
      <c r="I37" s="4"/>
      <c r="J37" s="4">
        <f t="shared" si="6"/>
        <v>0.79</v>
      </c>
      <c r="K37" s="5">
        <f t="shared" si="7"/>
        <v>5.191310763128322</v>
      </c>
      <c r="L37" s="5">
        <f t="shared" si="8"/>
        <v>5.1544298259767629</v>
      </c>
      <c r="M37" s="5">
        <f t="shared" si="9"/>
        <v>5.228507583155185</v>
      </c>
      <c r="N37" s="5">
        <f t="shared" si="10"/>
        <v>3.6880937151559046E-2</v>
      </c>
      <c r="O37" s="5">
        <f t="shared" si="11"/>
        <v>3.7196820026863087E-2</v>
      </c>
    </row>
    <row r="38" spans="1:15" ht="15.6" customHeight="1" x14ac:dyDescent="0.3">
      <c r="A38" s="3">
        <v>2</v>
      </c>
      <c r="B38" s="3">
        <v>200</v>
      </c>
      <c r="C38" s="3">
        <v>400</v>
      </c>
      <c r="D38" s="4">
        <v>0.13</v>
      </c>
      <c r="E38" s="3">
        <v>10</v>
      </c>
      <c r="F38" s="4">
        <v>0</v>
      </c>
      <c r="G38" s="4">
        <v>186.48</v>
      </c>
      <c r="H38" s="4">
        <v>16.510000000000002</v>
      </c>
      <c r="I38" s="4"/>
      <c r="J38" s="4">
        <f t="shared" si="6"/>
        <v>0.82550000000000012</v>
      </c>
      <c r="K38" s="5">
        <f t="shared" si="7"/>
        <v>5.0751898987112343</v>
      </c>
      <c r="L38" s="5">
        <f t="shared" si="8"/>
        <v>5.0376711873312647</v>
      </c>
      <c r="M38" s="5">
        <f t="shared" si="9"/>
        <v>5.113035560914744</v>
      </c>
      <c r="N38" s="5">
        <f t="shared" si="10"/>
        <v>3.7518711379969538E-2</v>
      </c>
      <c r="O38" s="5">
        <f t="shared" si="11"/>
        <v>3.7845662203509711E-2</v>
      </c>
    </row>
    <row r="39" spans="1:15" ht="15.6" customHeight="1" x14ac:dyDescent="0.3">
      <c r="A39" s="3">
        <v>2</v>
      </c>
      <c r="B39" s="3">
        <v>200</v>
      </c>
      <c r="C39" s="3">
        <v>400</v>
      </c>
      <c r="D39" s="4">
        <v>0.14000000000000001</v>
      </c>
      <c r="E39" s="3">
        <v>10</v>
      </c>
      <c r="F39" s="4">
        <v>0</v>
      </c>
      <c r="G39" s="4">
        <v>191.96</v>
      </c>
      <c r="H39" s="4">
        <v>15.78</v>
      </c>
      <c r="I39" s="4"/>
      <c r="J39" s="4">
        <f t="shared" si="6"/>
        <v>0.78899999999999992</v>
      </c>
      <c r="K39" s="5">
        <f t="shared" si="7"/>
        <v>4.949405091232598</v>
      </c>
      <c r="L39" s="5">
        <f t="shared" si="8"/>
        <v>4.9145582723066443</v>
      </c>
      <c r="M39" s="5">
        <f t="shared" si="9"/>
        <v>4.9845337764043727</v>
      </c>
      <c r="N39" s="5">
        <f t="shared" si="10"/>
        <v>3.4846818925953649E-2</v>
      </c>
      <c r="O39" s="5">
        <f t="shared" si="11"/>
        <v>3.5128685171774698E-2</v>
      </c>
    </row>
    <row r="40" spans="1:15" ht="15.6" customHeight="1" x14ac:dyDescent="0.3">
      <c r="A40" s="3">
        <v>2</v>
      </c>
      <c r="B40" s="3">
        <v>200</v>
      </c>
      <c r="C40" s="3">
        <v>400</v>
      </c>
      <c r="D40" s="4">
        <v>0.15</v>
      </c>
      <c r="E40" s="3">
        <v>10</v>
      </c>
      <c r="F40" s="4">
        <v>0</v>
      </c>
      <c r="G40" s="4">
        <v>197</v>
      </c>
      <c r="H40" s="4">
        <v>14.2</v>
      </c>
      <c r="I40" s="4"/>
      <c r="J40" s="4">
        <f t="shared" si="6"/>
        <v>0.71</v>
      </c>
      <c r="K40" s="5">
        <f t="shared" si="7"/>
        <v>4.8368502422205069</v>
      </c>
      <c r="L40" s="5">
        <f t="shared" si="8"/>
        <v>4.8062797042272933</v>
      </c>
      <c r="M40" s="5">
        <f t="shared" si="9"/>
        <v>4.8676374964925246</v>
      </c>
      <c r="N40" s="5">
        <f t="shared" si="10"/>
        <v>3.057053799321352E-2</v>
      </c>
      <c r="O40" s="5">
        <f t="shared" si="11"/>
        <v>3.0787254272017783E-2</v>
      </c>
    </row>
    <row r="41" spans="1:15" ht="15.6" customHeight="1" x14ac:dyDescent="0.3">
      <c r="A41" s="3">
        <v>2</v>
      </c>
      <c r="B41" s="3">
        <v>200</v>
      </c>
      <c r="C41" s="3">
        <v>400</v>
      </c>
      <c r="D41" s="4">
        <v>0.16</v>
      </c>
      <c r="E41" s="3">
        <v>10</v>
      </c>
      <c r="F41" s="4">
        <v>0</v>
      </c>
      <c r="G41" s="4">
        <v>203.78</v>
      </c>
      <c r="H41" s="4">
        <v>14.45</v>
      </c>
      <c r="I41" s="4"/>
      <c r="J41" s="4">
        <f t="shared" si="6"/>
        <v>0.72249999999999992</v>
      </c>
      <c r="K41" s="5">
        <f t="shared" si="7"/>
        <v>4.6898969247899993</v>
      </c>
      <c r="L41" s="5">
        <f t="shared" si="8"/>
        <v>4.6598214815719432</v>
      </c>
      <c r="M41" s="5">
        <f t="shared" si="9"/>
        <v>4.7201820975109596</v>
      </c>
      <c r="N41" s="5">
        <f t="shared" si="10"/>
        <v>3.0075443218056108E-2</v>
      </c>
      <c r="O41" s="5">
        <f t="shared" si="11"/>
        <v>3.0285172720960318E-2</v>
      </c>
    </row>
    <row r="42" spans="1:15" ht="15.6" customHeight="1" x14ac:dyDescent="0.3">
      <c r="A42" s="3">
        <v>2</v>
      </c>
      <c r="B42" s="3">
        <v>200</v>
      </c>
      <c r="C42" s="3">
        <v>400</v>
      </c>
      <c r="D42" s="4">
        <v>0.17</v>
      </c>
      <c r="E42" s="3">
        <v>10</v>
      </c>
      <c r="F42" s="4">
        <v>0</v>
      </c>
      <c r="G42" s="4">
        <v>209.2</v>
      </c>
      <c r="H42" s="4">
        <v>14.43</v>
      </c>
      <c r="I42" s="4"/>
      <c r="J42" s="4">
        <f t="shared" si="6"/>
        <v>0.72150000000000003</v>
      </c>
      <c r="K42" s="5">
        <f t="shared" si="7"/>
        <v>4.5758957018840709</v>
      </c>
      <c r="L42" s="5">
        <f t="shared" si="8"/>
        <v>4.5466372532986483</v>
      </c>
      <c r="M42" s="5">
        <f t="shared" si="9"/>
        <v>4.6053526025640643</v>
      </c>
      <c r="N42" s="5">
        <f t="shared" si="10"/>
        <v>2.9258448585422592E-2</v>
      </c>
      <c r="O42" s="5">
        <f t="shared" si="11"/>
        <v>2.9456900679993403E-2</v>
      </c>
    </row>
    <row r="43" spans="1:15" ht="15.6" customHeight="1" x14ac:dyDescent="0.3">
      <c r="A43" s="3">
        <v>2</v>
      </c>
      <c r="B43" s="3">
        <v>200</v>
      </c>
      <c r="C43" s="3">
        <v>400</v>
      </c>
      <c r="D43" s="4">
        <v>0.18</v>
      </c>
      <c r="E43" s="3">
        <v>10</v>
      </c>
      <c r="F43" s="4">
        <v>0</v>
      </c>
      <c r="G43" s="4">
        <v>216.28</v>
      </c>
      <c r="H43" s="4">
        <v>15.1</v>
      </c>
      <c r="I43" s="4"/>
      <c r="J43" s="4">
        <f t="shared" si="6"/>
        <v>0.755</v>
      </c>
      <c r="K43" s="5">
        <f t="shared" si="7"/>
        <v>4.4313488948005659</v>
      </c>
      <c r="L43" s="5">
        <f t="shared" si="8"/>
        <v>4.4017354139899965</v>
      </c>
      <c r="M43" s="5">
        <f t="shared" si="9"/>
        <v>4.46116568985288</v>
      </c>
      <c r="N43" s="5">
        <f t="shared" si="10"/>
        <v>2.961348081056947E-2</v>
      </c>
      <c r="O43" s="5">
        <f t="shared" si="11"/>
        <v>2.9816795052314049E-2</v>
      </c>
    </row>
    <row r="44" spans="1:15" ht="15.6" customHeight="1" x14ac:dyDescent="0.3">
      <c r="A44" s="3">
        <v>2</v>
      </c>
      <c r="B44" s="3">
        <v>200</v>
      </c>
      <c r="C44" s="3">
        <v>400</v>
      </c>
      <c r="D44" s="4">
        <v>0.19</v>
      </c>
      <c r="E44" s="3">
        <v>10</v>
      </c>
      <c r="F44" s="4">
        <v>0</v>
      </c>
      <c r="G44" s="4">
        <v>221.16</v>
      </c>
      <c r="H44" s="4">
        <v>15.9</v>
      </c>
      <c r="I44" s="4"/>
      <c r="J44" s="4">
        <f t="shared" si="6"/>
        <v>0.79500000000000004</v>
      </c>
      <c r="K44" s="5">
        <f t="shared" si="7"/>
        <v>4.3344466911694504</v>
      </c>
      <c r="L44" s="5">
        <f t="shared" si="8"/>
        <v>4.3039554239043474</v>
      </c>
      <c r="M44" s="5">
        <f t="shared" si="9"/>
        <v>4.3651535482934332</v>
      </c>
      <c r="N44" s="5">
        <f t="shared" si="10"/>
        <v>3.0491267265102984E-2</v>
      </c>
      <c r="O44" s="5">
        <f t="shared" si="11"/>
        <v>3.07068571239828E-2</v>
      </c>
    </row>
    <row r="45" spans="1:15" ht="15.6" customHeight="1" x14ac:dyDescent="0.3">
      <c r="A45" s="3">
        <v>2</v>
      </c>
      <c r="B45" s="3">
        <v>200</v>
      </c>
      <c r="C45" s="3">
        <v>400</v>
      </c>
      <c r="D45" s="4">
        <v>0.2</v>
      </c>
      <c r="E45" s="3">
        <v>10</v>
      </c>
      <c r="F45" s="4">
        <v>0</v>
      </c>
      <c r="G45" s="4">
        <v>226.6</v>
      </c>
      <c r="H45" s="4">
        <v>18.07</v>
      </c>
      <c r="I45" s="4"/>
      <c r="J45" s="4">
        <f t="shared" si="6"/>
        <v>0.90349999999999997</v>
      </c>
      <c r="K45" s="5">
        <f t="shared" si="7"/>
        <v>4.2289134485626523</v>
      </c>
      <c r="L45" s="5">
        <f t="shared" si="8"/>
        <v>4.1951056301900884</v>
      </c>
      <c r="M45" s="5">
        <f t="shared" si="9"/>
        <v>4.2629865113323584</v>
      </c>
      <c r="N45" s="5">
        <f t="shared" si="10"/>
        <v>3.3807818372563858E-2</v>
      </c>
      <c r="O45" s="5">
        <f t="shared" si="11"/>
        <v>3.4073062769706119E-2</v>
      </c>
    </row>
    <row r="46" spans="1:15" ht="15.6" customHeight="1" x14ac:dyDescent="0.3">
      <c r="A46" s="13" t="s">
        <v>16</v>
      </c>
      <c r="B46" s="7"/>
      <c r="C46" s="7"/>
      <c r="D46" s="8"/>
      <c r="E46" s="7"/>
      <c r="F46" s="8"/>
      <c r="G46" s="8"/>
      <c r="H46" s="8"/>
      <c r="I46" s="8"/>
      <c r="J46" s="9"/>
      <c r="K46" s="10"/>
      <c r="L46" s="10"/>
      <c r="M46" s="10"/>
      <c r="N46" s="10"/>
      <c r="O46" s="10"/>
    </row>
    <row r="47" spans="1:15" ht="15.6" customHeight="1" x14ac:dyDescent="0.3">
      <c r="A47" s="1">
        <v>2</v>
      </c>
      <c r="B47" s="1">
        <v>200</v>
      </c>
      <c r="C47" s="1">
        <v>100</v>
      </c>
      <c r="D47" s="2">
        <v>0</v>
      </c>
      <c r="E47" s="1">
        <v>10</v>
      </c>
      <c r="F47" s="2">
        <v>0</v>
      </c>
      <c r="G47" s="2">
        <v>314.26</v>
      </c>
      <c r="H47" s="2">
        <v>16.97</v>
      </c>
      <c r="J47" s="4">
        <f t="shared" ref="J47:J67" si="12">H47/SQRT(C47)</f>
        <v>1.6969999999999998</v>
      </c>
      <c r="K47" s="5">
        <f t="shared" ref="K47:K67" si="13">-10*LOG10(G47/(B47*3))</f>
        <v>2.8086214421428686</v>
      </c>
      <c r="L47" s="5">
        <f t="shared" ref="L47:L67" si="14">-10*LOG10((G47+1.96*J47)/(B47*3))</f>
        <v>2.7628973691552758</v>
      </c>
      <c r="M47" s="5">
        <f t="shared" ref="M47:M67" si="15">-10*LOG10((G47-1.96*J47)/(B47*3))</f>
        <v>2.8548320413527515</v>
      </c>
      <c r="N47" s="5">
        <f t="shared" ref="N47:N67" si="16">K47-L47</f>
        <v>4.5724072987592734E-2</v>
      </c>
      <c r="O47" s="5">
        <f t="shared" ref="O47:O67" si="17">M47-K47</f>
        <v>4.6210599209882908E-2</v>
      </c>
    </row>
    <row r="48" spans="1:15" ht="15.6" customHeight="1" x14ac:dyDescent="0.3">
      <c r="A48" s="1">
        <v>2</v>
      </c>
      <c r="B48" s="1">
        <v>200</v>
      </c>
      <c r="C48" s="1">
        <v>100</v>
      </c>
      <c r="D48" s="2">
        <v>0.01</v>
      </c>
      <c r="E48" s="1">
        <v>10</v>
      </c>
      <c r="F48" s="2">
        <v>0</v>
      </c>
      <c r="G48" s="2">
        <v>312.7</v>
      </c>
      <c r="H48" s="2">
        <v>18.22</v>
      </c>
      <c r="J48" s="4">
        <f t="shared" si="12"/>
        <v>1.8219999999999998</v>
      </c>
      <c r="K48" s="5">
        <f t="shared" si="13"/>
        <v>2.8302336914071042</v>
      </c>
      <c r="L48" s="5">
        <f t="shared" si="14"/>
        <v>2.7809171384974118</v>
      </c>
      <c r="M48" s="5">
        <f t="shared" si="15"/>
        <v>2.8801166997663596</v>
      </c>
      <c r="N48" s="5">
        <f t="shared" si="16"/>
        <v>4.931655290969239E-2</v>
      </c>
      <c r="O48" s="5">
        <f t="shared" si="17"/>
        <v>4.988300835925541E-2</v>
      </c>
    </row>
    <row r="49" spans="1:15" ht="15.6" customHeight="1" x14ac:dyDescent="0.3">
      <c r="A49" s="1">
        <v>2</v>
      </c>
      <c r="B49" s="1">
        <v>200</v>
      </c>
      <c r="C49" s="1">
        <v>100</v>
      </c>
      <c r="D49" s="2">
        <v>0.02</v>
      </c>
      <c r="E49" s="1">
        <v>10</v>
      </c>
      <c r="F49" s="2">
        <v>0</v>
      </c>
      <c r="G49" s="2">
        <v>307.5</v>
      </c>
      <c r="H49" s="2">
        <v>17.8</v>
      </c>
      <c r="J49" s="4">
        <f t="shared" si="12"/>
        <v>1.78</v>
      </c>
      <c r="K49" s="5">
        <f t="shared" si="13"/>
        <v>2.9030613027220813</v>
      </c>
      <c r="L49" s="5">
        <f t="shared" si="14"/>
        <v>2.8540650182556644</v>
      </c>
      <c r="M49" s="5">
        <f t="shared" si="15"/>
        <v>2.9526166674660796</v>
      </c>
      <c r="N49" s="5">
        <f t="shared" si="16"/>
        <v>4.8996284466416906E-2</v>
      </c>
      <c r="O49" s="5">
        <f t="shared" si="17"/>
        <v>4.9555364743998354E-2</v>
      </c>
    </row>
    <row r="50" spans="1:15" ht="15.6" customHeight="1" x14ac:dyDescent="0.3">
      <c r="A50" s="1">
        <v>2</v>
      </c>
      <c r="B50" s="1">
        <v>200</v>
      </c>
      <c r="C50" s="1">
        <v>100</v>
      </c>
      <c r="D50" s="2">
        <v>0.03</v>
      </c>
      <c r="E50" s="1">
        <v>10</v>
      </c>
      <c r="F50" s="2">
        <v>0</v>
      </c>
      <c r="G50" s="2">
        <v>301.02999999999997</v>
      </c>
      <c r="H50" s="2">
        <v>13.33</v>
      </c>
      <c r="J50" s="4">
        <f t="shared" si="12"/>
        <v>1.333</v>
      </c>
      <c r="K50" s="5">
        <f t="shared" si="13"/>
        <v>2.9954147178241577</v>
      </c>
      <c r="L50" s="5">
        <f t="shared" si="14"/>
        <v>2.9578843445882126</v>
      </c>
      <c r="M50" s="5">
        <f t="shared" si="15"/>
        <v>3.0332722460534409</v>
      </c>
      <c r="N50" s="5">
        <f t="shared" si="16"/>
        <v>3.7530373235945103E-2</v>
      </c>
      <c r="O50" s="5">
        <f t="shared" si="17"/>
        <v>3.7857528229283233E-2</v>
      </c>
    </row>
    <row r="51" spans="1:15" ht="15.6" customHeight="1" x14ac:dyDescent="0.3">
      <c r="A51" s="1">
        <v>2</v>
      </c>
      <c r="B51" s="1">
        <v>200</v>
      </c>
      <c r="C51" s="1">
        <v>100</v>
      </c>
      <c r="D51" s="2">
        <v>0.04</v>
      </c>
      <c r="E51" s="1">
        <v>10</v>
      </c>
      <c r="F51" s="2">
        <v>0</v>
      </c>
      <c r="G51" s="2">
        <v>288.08</v>
      </c>
      <c r="H51" s="2">
        <v>11.46</v>
      </c>
      <c r="J51" s="4">
        <f t="shared" si="12"/>
        <v>1.1460000000000001</v>
      </c>
      <c r="K51" s="5">
        <f t="shared" si="13"/>
        <v>3.1863814202041474</v>
      </c>
      <c r="L51" s="5">
        <f t="shared" si="14"/>
        <v>3.1526508044318553</v>
      </c>
      <c r="M51" s="5">
        <f t="shared" si="15"/>
        <v>3.2203760656106075</v>
      </c>
      <c r="N51" s="5">
        <f t="shared" si="16"/>
        <v>3.3730615772292083E-2</v>
      </c>
      <c r="O51" s="5">
        <f t="shared" si="17"/>
        <v>3.3994645406460133E-2</v>
      </c>
    </row>
    <row r="52" spans="1:15" ht="15.6" customHeight="1" x14ac:dyDescent="0.3">
      <c r="A52" s="1">
        <v>2</v>
      </c>
      <c r="B52" s="1">
        <v>200</v>
      </c>
      <c r="C52" s="1">
        <v>100</v>
      </c>
      <c r="D52" s="2">
        <v>0.05</v>
      </c>
      <c r="E52" s="1">
        <v>10</v>
      </c>
      <c r="F52" s="2">
        <v>0</v>
      </c>
      <c r="G52" s="2">
        <v>291.83999999999997</v>
      </c>
      <c r="H52" s="2">
        <v>9.6300000000000008</v>
      </c>
      <c r="J52" s="4">
        <f t="shared" si="12"/>
        <v>0.96300000000000008</v>
      </c>
      <c r="K52" s="5">
        <f t="shared" si="13"/>
        <v>3.1300643373532155</v>
      </c>
      <c r="L52" s="5">
        <f t="shared" si="14"/>
        <v>3.1020667105840323</v>
      </c>
      <c r="M52" s="5">
        <f t="shared" si="15"/>
        <v>3.1582436279574146</v>
      </c>
      <c r="N52" s="5">
        <f t="shared" si="16"/>
        <v>2.799762676918327E-2</v>
      </c>
      <c r="O52" s="5">
        <f t="shared" si="17"/>
        <v>2.8179290604199103E-2</v>
      </c>
    </row>
    <row r="53" spans="1:15" ht="15.6" customHeight="1" x14ac:dyDescent="0.3">
      <c r="A53" s="1">
        <v>2</v>
      </c>
      <c r="B53" s="1">
        <v>200</v>
      </c>
      <c r="C53" s="1">
        <v>100</v>
      </c>
      <c r="D53" s="2">
        <v>0.06</v>
      </c>
      <c r="E53" s="1">
        <v>10</v>
      </c>
      <c r="F53" s="2">
        <v>0</v>
      </c>
      <c r="G53" s="2">
        <v>301.38</v>
      </c>
      <c r="H53" s="2">
        <v>9.8000000000000007</v>
      </c>
      <c r="J53" s="4">
        <f t="shared" si="12"/>
        <v>0.98000000000000009</v>
      </c>
      <c r="K53" s="5">
        <f t="shared" si="13"/>
        <v>2.9903682184045071</v>
      </c>
      <c r="L53" s="5">
        <f t="shared" si="14"/>
        <v>2.9627769455656967</v>
      </c>
      <c r="M53" s="5">
        <f t="shared" si="15"/>
        <v>3.0181359034241835</v>
      </c>
      <c r="N53" s="5">
        <f t="shared" si="16"/>
        <v>2.7591272838810355E-2</v>
      </c>
      <c r="O53" s="5">
        <f t="shared" si="17"/>
        <v>2.7767685019676414E-2</v>
      </c>
    </row>
    <row r="54" spans="1:15" ht="15.6" customHeight="1" x14ac:dyDescent="0.3">
      <c r="A54" s="1">
        <v>2</v>
      </c>
      <c r="B54" s="1">
        <v>200</v>
      </c>
      <c r="C54" s="1">
        <v>100</v>
      </c>
      <c r="D54" s="2">
        <v>7.0000000000000007E-2</v>
      </c>
      <c r="E54" s="1">
        <v>10</v>
      </c>
      <c r="F54" s="2">
        <v>0</v>
      </c>
      <c r="G54" s="2">
        <v>312.58999999999997</v>
      </c>
      <c r="H54" s="2">
        <v>9.6300000000000008</v>
      </c>
      <c r="J54" s="4">
        <f t="shared" si="12"/>
        <v>0.96300000000000008</v>
      </c>
      <c r="K54" s="5">
        <f t="shared" si="13"/>
        <v>2.8317616990036494</v>
      </c>
      <c r="L54" s="5">
        <f t="shared" si="14"/>
        <v>2.8056169968633791</v>
      </c>
      <c r="M54" s="5">
        <f t="shared" si="15"/>
        <v>2.8580647470299771</v>
      </c>
      <c r="N54" s="5">
        <f t="shared" si="16"/>
        <v>2.6144702140270315E-2</v>
      </c>
      <c r="O54" s="5">
        <f t="shared" si="17"/>
        <v>2.6303048026327769E-2</v>
      </c>
    </row>
    <row r="55" spans="1:15" ht="15.6" customHeight="1" x14ac:dyDescent="0.3">
      <c r="A55" s="1">
        <v>2</v>
      </c>
      <c r="B55" s="1">
        <v>200</v>
      </c>
      <c r="C55" s="1">
        <v>100</v>
      </c>
      <c r="D55" s="2">
        <v>0.08</v>
      </c>
      <c r="E55" s="1">
        <v>10</v>
      </c>
      <c r="F55" s="2">
        <v>0</v>
      </c>
      <c r="G55" s="2">
        <v>320.38</v>
      </c>
      <c r="H55" s="2">
        <v>11.71</v>
      </c>
      <c r="J55" s="4">
        <f t="shared" si="12"/>
        <v>1.171</v>
      </c>
      <c r="K55" s="5">
        <f t="shared" si="13"/>
        <v>2.7248585333581476</v>
      </c>
      <c r="L55" s="5">
        <f t="shared" si="14"/>
        <v>2.6938571630962067</v>
      </c>
      <c r="M55" s="5">
        <f t="shared" si="15"/>
        <v>2.756082793625374</v>
      </c>
      <c r="N55" s="5">
        <f t="shared" si="16"/>
        <v>3.1001370261940941E-2</v>
      </c>
      <c r="O55" s="5">
        <f t="shared" si="17"/>
        <v>3.1224260267226356E-2</v>
      </c>
    </row>
    <row r="56" spans="1:15" ht="15.6" customHeight="1" x14ac:dyDescent="0.3">
      <c r="A56" s="1">
        <v>2</v>
      </c>
      <c r="B56" s="1">
        <v>200</v>
      </c>
      <c r="C56" s="1">
        <v>100</v>
      </c>
      <c r="D56" s="2">
        <v>0.09</v>
      </c>
      <c r="E56" s="1">
        <v>10</v>
      </c>
      <c r="F56" s="2">
        <v>0</v>
      </c>
      <c r="G56" s="2">
        <v>330.45</v>
      </c>
      <c r="H56" s="2">
        <v>12.06</v>
      </c>
      <c r="J56" s="4">
        <f t="shared" si="12"/>
        <v>1.206</v>
      </c>
      <c r="K56" s="5">
        <f t="shared" si="13"/>
        <v>2.5904549417719478</v>
      </c>
      <c r="L56" s="5">
        <f t="shared" si="14"/>
        <v>2.5594997672969795</v>
      </c>
      <c r="M56" s="5">
        <f t="shared" si="15"/>
        <v>2.6216323400973947</v>
      </c>
      <c r="N56" s="5">
        <f t="shared" si="16"/>
        <v>3.0955174474968317E-2</v>
      </c>
      <c r="O56" s="5">
        <f t="shared" si="17"/>
        <v>3.1177398325446859E-2</v>
      </c>
    </row>
    <row r="57" spans="1:15" ht="15.6" customHeight="1" x14ac:dyDescent="0.3">
      <c r="A57" s="1">
        <v>2</v>
      </c>
      <c r="B57" s="1">
        <v>200</v>
      </c>
      <c r="C57" s="1">
        <v>100</v>
      </c>
      <c r="D57" s="2">
        <v>0.1</v>
      </c>
      <c r="E57" s="1">
        <v>10</v>
      </c>
      <c r="F57" s="2">
        <v>0</v>
      </c>
      <c r="G57" s="2">
        <v>337.59</v>
      </c>
      <c r="H57" s="2">
        <v>11.1</v>
      </c>
      <c r="J57" s="4">
        <f t="shared" si="12"/>
        <v>1.1099999999999999</v>
      </c>
      <c r="K57" s="5">
        <f t="shared" si="13"/>
        <v>2.49761676793596</v>
      </c>
      <c r="L57" s="5">
        <f t="shared" si="14"/>
        <v>2.469718443216232</v>
      </c>
      <c r="M57" s="5">
        <f t="shared" si="15"/>
        <v>2.5256954659690218</v>
      </c>
      <c r="N57" s="5">
        <f t="shared" si="16"/>
        <v>2.7898324719727974E-2</v>
      </c>
      <c r="O57" s="5">
        <f t="shared" si="17"/>
        <v>2.8078698033061844E-2</v>
      </c>
    </row>
    <row r="58" spans="1:15" ht="15.6" customHeight="1" x14ac:dyDescent="0.3">
      <c r="A58" s="1">
        <v>2</v>
      </c>
      <c r="B58" s="1">
        <v>200</v>
      </c>
      <c r="C58" s="1">
        <v>100</v>
      </c>
      <c r="D58" s="2">
        <v>0.11</v>
      </c>
      <c r="E58" s="1">
        <v>10</v>
      </c>
      <c r="F58" s="2">
        <v>0</v>
      </c>
      <c r="G58" s="2">
        <v>339.61</v>
      </c>
      <c r="H58" s="2">
        <v>12.73</v>
      </c>
      <c r="J58" s="4">
        <f t="shared" si="12"/>
        <v>1.2730000000000001</v>
      </c>
      <c r="K58" s="5">
        <f t="shared" si="13"/>
        <v>2.4717078058770547</v>
      </c>
      <c r="L58" s="5">
        <f t="shared" si="14"/>
        <v>2.4399172720826341</v>
      </c>
      <c r="M58" s="5">
        <f t="shared" si="15"/>
        <v>2.5037327647353047</v>
      </c>
      <c r="N58" s="5">
        <f t="shared" si="16"/>
        <v>3.179053379442065E-2</v>
      </c>
      <c r="O58" s="5">
        <f t="shared" si="17"/>
        <v>3.2024958858249963E-2</v>
      </c>
    </row>
    <row r="59" spans="1:15" ht="15.6" customHeight="1" x14ac:dyDescent="0.3">
      <c r="A59" s="1">
        <v>2</v>
      </c>
      <c r="B59" s="1">
        <v>200</v>
      </c>
      <c r="C59" s="1">
        <v>100</v>
      </c>
      <c r="D59" s="2">
        <v>0.12</v>
      </c>
      <c r="E59" s="1">
        <v>10</v>
      </c>
      <c r="F59" s="2">
        <v>0</v>
      </c>
      <c r="G59" s="2">
        <v>337.5</v>
      </c>
      <c r="H59" s="2">
        <v>13.27</v>
      </c>
      <c r="J59" s="4">
        <f t="shared" si="12"/>
        <v>1.327</v>
      </c>
      <c r="K59" s="5">
        <f t="shared" si="13"/>
        <v>2.498774732165999</v>
      </c>
      <c r="L59" s="5">
        <f t="shared" si="14"/>
        <v>2.4654344364826661</v>
      </c>
      <c r="M59" s="5">
        <f t="shared" si="15"/>
        <v>2.5323729589087183</v>
      </c>
      <c r="N59" s="5">
        <f t="shared" si="16"/>
        <v>3.3340295683332855E-2</v>
      </c>
      <c r="O59" s="5">
        <f t="shared" si="17"/>
        <v>3.3598226742719284E-2</v>
      </c>
    </row>
    <row r="60" spans="1:15" ht="15.6" customHeight="1" x14ac:dyDescent="0.3">
      <c r="A60" s="1">
        <v>2</v>
      </c>
      <c r="B60" s="1">
        <v>200</v>
      </c>
      <c r="C60" s="1">
        <v>100</v>
      </c>
      <c r="D60" s="2">
        <v>0.13</v>
      </c>
      <c r="E60" s="1">
        <v>10</v>
      </c>
      <c r="F60" s="2">
        <v>0</v>
      </c>
      <c r="G60" s="2">
        <v>340.06</v>
      </c>
      <c r="H60" s="2">
        <v>12.65</v>
      </c>
      <c r="J60" s="4">
        <f t="shared" si="12"/>
        <v>1.2650000000000001</v>
      </c>
      <c r="K60" s="5">
        <f t="shared" si="13"/>
        <v>2.465956999002751</v>
      </c>
      <c r="L60" s="5">
        <f t="shared" si="14"/>
        <v>2.4344071771299172</v>
      </c>
      <c r="M60" s="5">
        <f t="shared" si="15"/>
        <v>2.4977376964281115</v>
      </c>
      <c r="N60" s="5">
        <f t="shared" si="16"/>
        <v>3.1549821872833839E-2</v>
      </c>
      <c r="O60" s="5">
        <f t="shared" si="17"/>
        <v>3.1780697425360493E-2</v>
      </c>
    </row>
    <row r="61" spans="1:15" ht="15.6" customHeight="1" x14ac:dyDescent="0.3">
      <c r="A61" s="1">
        <v>2</v>
      </c>
      <c r="B61" s="1">
        <v>200</v>
      </c>
      <c r="C61" s="1">
        <v>100</v>
      </c>
      <c r="D61" s="2">
        <v>0.14000000000000001</v>
      </c>
      <c r="E61" s="1">
        <v>10</v>
      </c>
      <c r="F61" s="2">
        <v>0</v>
      </c>
      <c r="G61" s="2">
        <v>339.73</v>
      </c>
      <c r="H61" s="2">
        <v>12.94</v>
      </c>
      <c r="J61" s="4">
        <f t="shared" si="12"/>
        <v>1.294</v>
      </c>
      <c r="K61" s="5">
        <f t="shared" si="13"/>
        <v>2.4701735126403714</v>
      </c>
      <c r="L61" s="5">
        <f t="shared" si="14"/>
        <v>2.4378718649198294</v>
      </c>
      <c r="M61" s="5">
        <f t="shared" si="15"/>
        <v>2.5027172127151456</v>
      </c>
      <c r="N61" s="5">
        <f t="shared" si="16"/>
        <v>3.2301647720542004E-2</v>
      </c>
      <c r="O61" s="5">
        <f t="shared" si="17"/>
        <v>3.254370007477414E-2</v>
      </c>
    </row>
    <row r="62" spans="1:15" ht="15.6" customHeight="1" x14ac:dyDescent="0.3">
      <c r="A62" s="1">
        <v>2</v>
      </c>
      <c r="B62" s="1">
        <v>200</v>
      </c>
      <c r="C62" s="1">
        <v>100</v>
      </c>
      <c r="D62" s="2">
        <v>0.15</v>
      </c>
      <c r="E62" s="1">
        <v>10</v>
      </c>
      <c r="F62" s="2">
        <v>0</v>
      </c>
      <c r="G62" s="2">
        <v>336.36</v>
      </c>
      <c r="H62" s="2">
        <v>15.46</v>
      </c>
      <c r="J62" s="4">
        <f t="shared" si="12"/>
        <v>1.546</v>
      </c>
      <c r="K62" s="5">
        <f t="shared" si="13"/>
        <v>2.5134690657573264</v>
      </c>
      <c r="L62" s="5">
        <f t="shared" si="14"/>
        <v>2.4745200379754313</v>
      </c>
      <c r="M62" s="5">
        <f t="shared" si="15"/>
        <v>2.5527705653332595</v>
      </c>
      <c r="N62" s="5">
        <f t="shared" si="16"/>
        <v>3.8949027781895129E-2</v>
      </c>
      <c r="O62" s="5">
        <f t="shared" si="17"/>
        <v>3.9301499575933097E-2</v>
      </c>
    </row>
    <row r="63" spans="1:15" ht="15.6" customHeight="1" x14ac:dyDescent="0.3">
      <c r="A63" s="1">
        <v>2</v>
      </c>
      <c r="B63" s="1">
        <v>200</v>
      </c>
      <c r="C63" s="1">
        <v>100</v>
      </c>
      <c r="D63" s="2">
        <v>0.16</v>
      </c>
      <c r="E63" s="1">
        <v>10</v>
      </c>
      <c r="F63" s="2">
        <v>0</v>
      </c>
      <c r="G63" s="2">
        <v>331.96</v>
      </c>
      <c r="H63" s="2">
        <v>16.54</v>
      </c>
      <c r="J63" s="4">
        <f t="shared" si="12"/>
        <v>1.6539999999999999</v>
      </c>
      <c r="K63" s="5">
        <f t="shared" si="13"/>
        <v>2.5706549446832092</v>
      </c>
      <c r="L63" s="5">
        <f t="shared" si="14"/>
        <v>2.5284485647655783</v>
      </c>
      <c r="M63" s="5">
        <f t="shared" si="15"/>
        <v>2.6132755308651894</v>
      </c>
      <c r="N63" s="5">
        <f t="shared" si="16"/>
        <v>4.2206379917630876E-2</v>
      </c>
      <c r="O63" s="5">
        <f t="shared" si="17"/>
        <v>4.2620586181980169E-2</v>
      </c>
    </row>
    <row r="64" spans="1:15" ht="15.6" customHeight="1" x14ac:dyDescent="0.3">
      <c r="A64" s="1">
        <v>2</v>
      </c>
      <c r="B64" s="1">
        <v>200</v>
      </c>
      <c r="C64" s="1">
        <v>100</v>
      </c>
      <c r="D64" s="2">
        <v>0.17</v>
      </c>
      <c r="E64" s="1">
        <v>10</v>
      </c>
      <c r="F64" s="2">
        <v>0</v>
      </c>
      <c r="G64" s="2">
        <v>326.56</v>
      </c>
      <c r="H64" s="2">
        <v>10.54</v>
      </c>
      <c r="J64" s="4">
        <f t="shared" si="12"/>
        <v>1.0539999999999998</v>
      </c>
      <c r="K64" s="5">
        <f t="shared" si="13"/>
        <v>2.6418826301164833</v>
      </c>
      <c r="L64" s="5">
        <f t="shared" si="14"/>
        <v>2.6144954116835404</v>
      </c>
      <c r="M64" s="5">
        <f t="shared" si="15"/>
        <v>2.6694436527991257</v>
      </c>
      <c r="N64" s="5">
        <f t="shared" si="16"/>
        <v>2.7387218432942895E-2</v>
      </c>
      <c r="O64" s="5">
        <f t="shared" si="17"/>
        <v>2.7561022682642378E-2</v>
      </c>
    </row>
    <row r="65" spans="1:15" ht="15.6" customHeight="1" x14ac:dyDescent="0.3">
      <c r="A65" s="1">
        <v>2</v>
      </c>
      <c r="B65" s="1">
        <v>200</v>
      </c>
      <c r="C65" s="1">
        <v>100</v>
      </c>
      <c r="D65" s="2">
        <v>0.18</v>
      </c>
      <c r="E65" s="1">
        <v>10</v>
      </c>
      <c r="F65" s="2">
        <v>0</v>
      </c>
      <c r="G65" s="2">
        <v>327.33</v>
      </c>
      <c r="H65" s="2">
        <v>9.6999999999999993</v>
      </c>
      <c r="J65" s="4">
        <f t="shared" si="12"/>
        <v>0.97</v>
      </c>
      <c r="K65" s="5">
        <f t="shared" si="13"/>
        <v>2.6316543988960688</v>
      </c>
      <c r="L65" s="5">
        <f t="shared" si="14"/>
        <v>2.6065026544190939</v>
      </c>
      <c r="M65" s="5">
        <f t="shared" si="15"/>
        <v>2.6569526561929346</v>
      </c>
      <c r="N65" s="5">
        <f t="shared" si="16"/>
        <v>2.515174447697488E-2</v>
      </c>
      <c r="O65" s="5">
        <f t="shared" si="17"/>
        <v>2.5298257296865856E-2</v>
      </c>
    </row>
    <row r="66" spans="1:15" ht="15.6" customHeight="1" x14ac:dyDescent="0.3">
      <c r="A66" s="1">
        <v>2</v>
      </c>
      <c r="B66" s="1">
        <v>200</v>
      </c>
      <c r="C66" s="1">
        <v>100</v>
      </c>
      <c r="D66" s="2">
        <v>0.19</v>
      </c>
      <c r="E66" s="1">
        <v>10</v>
      </c>
      <c r="F66" s="2">
        <v>0</v>
      </c>
      <c r="G66" s="2">
        <v>325.74</v>
      </c>
      <c r="H66" s="2">
        <v>8.9700000000000006</v>
      </c>
      <c r="J66" s="4">
        <f t="shared" si="12"/>
        <v>0.89700000000000002</v>
      </c>
      <c r="K66" s="5">
        <f t="shared" si="13"/>
        <v>2.6528015834432011</v>
      </c>
      <c r="L66" s="5">
        <f t="shared" si="14"/>
        <v>2.6294243911223703</v>
      </c>
      <c r="M66" s="5">
        <f t="shared" si="15"/>
        <v>2.6763052917725521</v>
      </c>
      <c r="N66" s="5">
        <f t="shared" si="16"/>
        <v>2.3377192320830797E-2</v>
      </c>
      <c r="O66" s="5">
        <f t="shared" si="17"/>
        <v>2.3503708329351003E-2</v>
      </c>
    </row>
    <row r="67" spans="1:15" ht="15.6" customHeight="1" x14ac:dyDescent="0.3">
      <c r="A67" s="1">
        <v>2</v>
      </c>
      <c r="B67" s="1">
        <v>200</v>
      </c>
      <c r="C67" s="1">
        <v>100</v>
      </c>
      <c r="D67" s="2">
        <v>0.2</v>
      </c>
      <c r="E67" s="1">
        <v>10</v>
      </c>
      <c r="F67" s="2">
        <v>0</v>
      </c>
      <c r="G67" s="2">
        <v>323.2</v>
      </c>
      <c r="H67" s="2">
        <v>8.7799999999999994</v>
      </c>
      <c r="J67" s="4">
        <f t="shared" si="12"/>
        <v>0.87799999999999989</v>
      </c>
      <c r="K67" s="5">
        <f t="shared" si="13"/>
        <v>2.6867989828109513</v>
      </c>
      <c r="L67" s="5">
        <f t="shared" si="14"/>
        <v>2.6637362959756916</v>
      </c>
      <c r="M67" s="5">
        <f t="shared" si="15"/>
        <v>2.709984795410088</v>
      </c>
      <c r="N67" s="5">
        <f t="shared" si="16"/>
        <v>2.3062686835259694E-2</v>
      </c>
      <c r="O67" s="5">
        <f t="shared" si="17"/>
        <v>2.3185812599136657E-2</v>
      </c>
    </row>
    <row r="68" spans="1:15" ht="15.6" customHeight="1" x14ac:dyDescent="0.3">
      <c r="A68" s="13" t="s">
        <v>17</v>
      </c>
      <c r="B68" s="7"/>
      <c r="C68" s="7"/>
      <c r="D68" s="8"/>
      <c r="E68" s="7"/>
      <c r="F68" s="8"/>
      <c r="G68" s="8"/>
      <c r="H68" s="8"/>
      <c r="I68" s="8"/>
      <c r="J68" s="9"/>
      <c r="K68" s="10"/>
      <c r="L68" s="10"/>
      <c r="M68" s="10"/>
      <c r="N68" s="10"/>
      <c r="O68" s="10"/>
    </row>
    <row r="69" spans="1:15" ht="15.6" customHeight="1" x14ac:dyDescent="0.3">
      <c r="J69" s="4" t="e">
        <f t="shared" ref="J69:J89" si="18">H69/SQRT(C69)</f>
        <v>#DIV/0!</v>
      </c>
      <c r="K69" s="5" t="e">
        <f t="shared" ref="K69:K89" si="19">-10*LOG10(G69/(B69*3))</f>
        <v>#DIV/0!</v>
      </c>
      <c r="L69" s="5" t="e">
        <f t="shared" ref="L69:L89" si="20">-10*LOG10((G69+1.96*J69)/(B69*3))</f>
        <v>#DIV/0!</v>
      </c>
      <c r="M69" s="5" t="e">
        <f t="shared" ref="M69:M89" si="21">-10*LOG10((G69-1.96*J69)/(B69*3))</f>
        <v>#DIV/0!</v>
      </c>
      <c r="N69" s="5" t="e">
        <f t="shared" ref="N69:N89" si="22">K69-L69</f>
        <v>#DIV/0!</v>
      </c>
      <c r="O69" s="5" t="e">
        <f t="shared" ref="O69:O89" si="23">M69-K69</f>
        <v>#DIV/0!</v>
      </c>
    </row>
    <row r="70" spans="1:15" ht="15.6" customHeight="1" x14ac:dyDescent="0.3">
      <c r="A70" s="3"/>
      <c r="B70" s="3"/>
      <c r="C70" s="3"/>
      <c r="D70" s="4"/>
      <c r="E70" s="3"/>
      <c r="F70" s="4"/>
      <c r="G70" s="4"/>
      <c r="H70" s="4"/>
      <c r="I70" s="4"/>
      <c r="J70" s="4" t="e">
        <f t="shared" si="18"/>
        <v>#DIV/0!</v>
      </c>
      <c r="K70" s="5" t="e">
        <f t="shared" si="19"/>
        <v>#DIV/0!</v>
      </c>
      <c r="L70" s="5" t="e">
        <f t="shared" si="20"/>
        <v>#DIV/0!</v>
      </c>
      <c r="M70" s="5" t="e">
        <f t="shared" si="21"/>
        <v>#DIV/0!</v>
      </c>
      <c r="N70" s="5" t="e">
        <f t="shared" si="22"/>
        <v>#DIV/0!</v>
      </c>
      <c r="O70" s="5" t="e">
        <f t="shared" si="23"/>
        <v>#DIV/0!</v>
      </c>
    </row>
    <row r="71" spans="1:15" ht="15.6" customHeight="1" x14ac:dyDescent="0.3">
      <c r="A71" s="3"/>
      <c r="B71" s="3"/>
      <c r="C71" s="3"/>
      <c r="D71" s="4"/>
      <c r="E71" s="3"/>
      <c r="F71" s="4"/>
      <c r="G71" s="4"/>
      <c r="H71" s="4"/>
      <c r="I71" s="4"/>
      <c r="J71" s="4" t="e">
        <f t="shared" si="18"/>
        <v>#DIV/0!</v>
      </c>
      <c r="K71" s="5" t="e">
        <f t="shared" si="19"/>
        <v>#DIV/0!</v>
      </c>
      <c r="L71" s="5" t="e">
        <f t="shared" si="20"/>
        <v>#DIV/0!</v>
      </c>
      <c r="M71" s="5" t="e">
        <f t="shared" si="21"/>
        <v>#DIV/0!</v>
      </c>
      <c r="N71" s="5" t="e">
        <f t="shared" si="22"/>
        <v>#DIV/0!</v>
      </c>
      <c r="O71" s="5" t="e">
        <f t="shared" si="23"/>
        <v>#DIV/0!</v>
      </c>
    </row>
    <row r="72" spans="1:15" ht="15.6" customHeight="1" x14ac:dyDescent="0.3">
      <c r="A72" s="3"/>
      <c r="B72" s="3"/>
      <c r="C72" s="3"/>
      <c r="D72" s="4"/>
      <c r="E72" s="3"/>
      <c r="F72" s="4"/>
      <c r="G72" s="4"/>
      <c r="H72" s="4"/>
      <c r="I72" s="4"/>
      <c r="J72" s="4" t="e">
        <f t="shared" si="18"/>
        <v>#DIV/0!</v>
      </c>
      <c r="K72" s="5" t="e">
        <f t="shared" si="19"/>
        <v>#DIV/0!</v>
      </c>
      <c r="L72" s="5" t="e">
        <f t="shared" si="20"/>
        <v>#DIV/0!</v>
      </c>
      <c r="M72" s="5" t="e">
        <f t="shared" si="21"/>
        <v>#DIV/0!</v>
      </c>
      <c r="N72" s="5" t="e">
        <f t="shared" si="22"/>
        <v>#DIV/0!</v>
      </c>
      <c r="O72" s="5" t="e">
        <f t="shared" si="23"/>
        <v>#DIV/0!</v>
      </c>
    </row>
    <row r="73" spans="1:15" ht="15.6" customHeight="1" x14ac:dyDescent="0.3">
      <c r="A73" s="3"/>
      <c r="B73" s="3"/>
      <c r="C73" s="3"/>
      <c r="D73" s="4"/>
      <c r="E73" s="3"/>
      <c r="F73" s="4"/>
      <c r="G73" s="4"/>
      <c r="H73" s="4"/>
      <c r="I73" s="4"/>
      <c r="J73" s="4" t="e">
        <f t="shared" si="18"/>
        <v>#DIV/0!</v>
      </c>
      <c r="K73" s="5" t="e">
        <f t="shared" si="19"/>
        <v>#DIV/0!</v>
      </c>
      <c r="L73" s="5" t="e">
        <f t="shared" si="20"/>
        <v>#DIV/0!</v>
      </c>
      <c r="M73" s="5" t="e">
        <f t="shared" si="21"/>
        <v>#DIV/0!</v>
      </c>
      <c r="N73" s="5" t="e">
        <f t="shared" si="22"/>
        <v>#DIV/0!</v>
      </c>
      <c r="O73" s="5" t="e">
        <f t="shared" si="23"/>
        <v>#DIV/0!</v>
      </c>
    </row>
    <row r="74" spans="1:15" ht="15.6" customHeight="1" x14ac:dyDescent="0.3">
      <c r="A74" s="3"/>
      <c r="B74" s="3"/>
      <c r="C74" s="3"/>
      <c r="D74" s="4"/>
      <c r="E74" s="3"/>
      <c r="F74" s="4"/>
      <c r="G74" s="4"/>
      <c r="H74" s="4"/>
      <c r="I74" s="4"/>
      <c r="J74" s="4" t="e">
        <f t="shared" si="18"/>
        <v>#DIV/0!</v>
      </c>
      <c r="K74" s="5" t="e">
        <f t="shared" si="19"/>
        <v>#DIV/0!</v>
      </c>
      <c r="L74" s="5" t="e">
        <f t="shared" si="20"/>
        <v>#DIV/0!</v>
      </c>
      <c r="M74" s="5" t="e">
        <f t="shared" si="21"/>
        <v>#DIV/0!</v>
      </c>
      <c r="N74" s="5" t="e">
        <f t="shared" si="22"/>
        <v>#DIV/0!</v>
      </c>
      <c r="O74" s="5" t="e">
        <f t="shared" si="23"/>
        <v>#DIV/0!</v>
      </c>
    </row>
    <row r="75" spans="1:15" ht="15.6" customHeight="1" x14ac:dyDescent="0.3">
      <c r="A75" s="3"/>
      <c r="B75" s="3"/>
      <c r="C75" s="3"/>
      <c r="D75" s="4"/>
      <c r="E75" s="3"/>
      <c r="F75" s="4"/>
      <c r="G75" s="4"/>
      <c r="H75" s="4"/>
      <c r="I75" s="4"/>
      <c r="J75" s="4" t="e">
        <f t="shared" si="18"/>
        <v>#DIV/0!</v>
      </c>
      <c r="K75" s="5" t="e">
        <f t="shared" si="19"/>
        <v>#DIV/0!</v>
      </c>
      <c r="L75" s="5" t="e">
        <f t="shared" si="20"/>
        <v>#DIV/0!</v>
      </c>
      <c r="M75" s="5" t="e">
        <f t="shared" si="21"/>
        <v>#DIV/0!</v>
      </c>
      <c r="N75" s="5" t="e">
        <f t="shared" si="22"/>
        <v>#DIV/0!</v>
      </c>
      <c r="O75" s="5" t="e">
        <f t="shared" si="23"/>
        <v>#DIV/0!</v>
      </c>
    </row>
    <row r="76" spans="1:15" ht="15.6" customHeight="1" x14ac:dyDescent="0.3">
      <c r="A76" s="3"/>
      <c r="B76" s="3"/>
      <c r="C76" s="3"/>
      <c r="D76" s="4"/>
      <c r="E76" s="3"/>
      <c r="F76" s="4"/>
      <c r="G76" s="4"/>
      <c r="H76" s="4"/>
      <c r="I76" s="4"/>
      <c r="J76" s="4" t="e">
        <f t="shared" si="18"/>
        <v>#DIV/0!</v>
      </c>
      <c r="K76" s="5" t="e">
        <f t="shared" si="19"/>
        <v>#DIV/0!</v>
      </c>
      <c r="L76" s="5" t="e">
        <f t="shared" si="20"/>
        <v>#DIV/0!</v>
      </c>
      <c r="M76" s="5" t="e">
        <f t="shared" si="21"/>
        <v>#DIV/0!</v>
      </c>
      <c r="N76" s="5" t="e">
        <f t="shared" si="22"/>
        <v>#DIV/0!</v>
      </c>
      <c r="O76" s="5" t="e">
        <f t="shared" si="23"/>
        <v>#DIV/0!</v>
      </c>
    </row>
    <row r="77" spans="1:15" ht="15.6" customHeight="1" x14ac:dyDescent="0.3">
      <c r="A77" s="3"/>
      <c r="B77" s="3"/>
      <c r="C77" s="3"/>
      <c r="D77" s="4"/>
      <c r="E77" s="3"/>
      <c r="F77" s="4"/>
      <c r="G77" s="4"/>
      <c r="H77" s="4"/>
      <c r="I77" s="4"/>
      <c r="J77" s="4" t="e">
        <f t="shared" si="18"/>
        <v>#DIV/0!</v>
      </c>
      <c r="K77" s="5" t="e">
        <f t="shared" si="19"/>
        <v>#DIV/0!</v>
      </c>
      <c r="L77" s="5" t="e">
        <f t="shared" si="20"/>
        <v>#DIV/0!</v>
      </c>
      <c r="M77" s="5" t="e">
        <f t="shared" si="21"/>
        <v>#DIV/0!</v>
      </c>
      <c r="N77" s="5" t="e">
        <f t="shared" si="22"/>
        <v>#DIV/0!</v>
      </c>
      <c r="O77" s="5" t="e">
        <f t="shared" si="23"/>
        <v>#DIV/0!</v>
      </c>
    </row>
    <row r="78" spans="1:15" ht="15.6" customHeight="1" x14ac:dyDescent="0.3">
      <c r="A78" s="3"/>
      <c r="B78" s="3"/>
      <c r="C78" s="3"/>
      <c r="D78" s="4"/>
      <c r="E78" s="3"/>
      <c r="F78" s="4"/>
      <c r="G78" s="4"/>
      <c r="H78" s="4"/>
      <c r="I78" s="4"/>
      <c r="J78" s="4" t="e">
        <f t="shared" si="18"/>
        <v>#DIV/0!</v>
      </c>
      <c r="K78" s="5" t="e">
        <f t="shared" si="19"/>
        <v>#DIV/0!</v>
      </c>
      <c r="L78" s="5" t="e">
        <f t="shared" si="20"/>
        <v>#DIV/0!</v>
      </c>
      <c r="M78" s="5" t="e">
        <f t="shared" si="21"/>
        <v>#DIV/0!</v>
      </c>
      <c r="N78" s="5" t="e">
        <f t="shared" si="22"/>
        <v>#DIV/0!</v>
      </c>
      <c r="O78" s="5" t="e">
        <f t="shared" si="23"/>
        <v>#DIV/0!</v>
      </c>
    </row>
    <row r="79" spans="1:15" ht="15.6" customHeight="1" x14ac:dyDescent="0.3">
      <c r="A79" s="3"/>
      <c r="B79" s="3"/>
      <c r="C79" s="3"/>
      <c r="D79" s="4"/>
      <c r="E79" s="3"/>
      <c r="F79" s="4"/>
      <c r="G79" s="4"/>
      <c r="H79" s="4"/>
      <c r="I79" s="4"/>
      <c r="J79" s="4" t="e">
        <f t="shared" si="18"/>
        <v>#DIV/0!</v>
      </c>
      <c r="K79" s="5" t="e">
        <f t="shared" si="19"/>
        <v>#DIV/0!</v>
      </c>
      <c r="L79" s="5" t="e">
        <f t="shared" si="20"/>
        <v>#DIV/0!</v>
      </c>
      <c r="M79" s="5" t="e">
        <f t="shared" si="21"/>
        <v>#DIV/0!</v>
      </c>
      <c r="N79" s="5" t="e">
        <f t="shared" si="22"/>
        <v>#DIV/0!</v>
      </c>
      <c r="O79" s="5" t="e">
        <f t="shared" si="23"/>
        <v>#DIV/0!</v>
      </c>
    </row>
    <row r="80" spans="1:15" ht="15.6" customHeight="1" x14ac:dyDescent="0.3">
      <c r="A80" s="3"/>
      <c r="B80" s="3"/>
      <c r="C80" s="3"/>
      <c r="D80" s="4"/>
      <c r="E80" s="3"/>
      <c r="F80" s="3"/>
      <c r="G80" s="4"/>
      <c r="H80" s="4"/>
      <c r="I80" s="4"/>
      <c r="J80" s="4" t="e">
        <f t="shared" si="18"/>
        <v>#DIV/0!</v>
      </c>
      <c r="K80" s="5" t="e">
        <f t="shared" si="19"/>
        <v>#DIV/0!</v>
      </c>
      <c r="L80" s="5" t="e">
        <f t="shared" si="20"/>
        <v>#DIV/0!</v>
      </c>
      <c r="M80" s="5" t="e">
        <f t="shared" si="21"/>
        <v>#DIV/0!</v>
      </c>
      <c r="N80" s="5" t="e">
        <f t="shared" si="22"/>
        <v>#DIV/0!</v>
      </c>
      <c r="O80" s="5" t="e">
        <f t="shared" si="23"/>
        <v>#DIV/0!</v>
      </c>
    </row>
    <row r="81" spans="1:15" ht="15.6" customHeight="1" x14ac:dyDescent="0.3">
      <c r="A81" s="3"/>
      <c r="B81" s="3"/>
      <c r="C81" s="3"/>
      <c r="D81" s="4"/>
      <c r="E81" s="3"/>
      <c r="F81" s="4"/>
      <c r="G81" s="4"/>
      <c r="H81" s="4"/>
      <c r="I81" s="4"/>
      <c r="J81" s="4" t="e">
        <f t="shared" si="18"/>
        <v>#DIV/0!</v>
      </c>
      <c r="K81" s="5" t="e">
        <f t="shared" si="19"/>
        <v>#DIV/0!</v>
      </c>
      <c r="L81" s="5" t="e">
        <f t="shared" si="20"/>
        <v>#DIV/0!</v>
      </c>
      <c r="M81" s="5" t="e">
        <f t="shared" si="21"/>
        <v>#DIV/0!</v>
      </c>
      <c r="N81" s="5" t="e">
        <f t="shared" si="22"/>
        <v>#DIV/0!</v>
      </c>
      <c r="O81" s="5" t="e">
        <f t="shared" si="23"/>
        <v>#DIV/0!</v>
      </c>
    </row>
    <row r="82" spans="1:15" ht="15.6" customHeight="1" x14ac:dyDescent="0.3">
      <c r="A82" s="3"/>
      <c r="B82" s="3"/>
      <c r="C82" s="3"/>
      <c r="D82" s="4"/>
      <c r="E82" s="3"/>
      <c r="F82" s="4"/>
      <c r="G82" s="4"/>
      <c r="H82" s="4"/>
      <c r="I82" s="4"/>
      <c r="J82" s="4" t="e">
        <f t="shared" si="18"/>
        <v>#DIV/0!</v>
      </c>
      <c r="K82" s="5" t="e">
        <f t="shared" si="19"/>
        <v>#DIV/0!</v>
      </c>
      <c r="L82" s="5" t="e">
        <f t="shared" si="20"/>
        <v>#DIV/0!</v>
      </c>
      <c r="M82" s="5" t="e">
        <f t="shared" si="21"/>
        <v>#DIV/0!</v>
      </c>
      <c r="N82" s="5" t="e">
        <f t="shared" si="22"/>
        <v>#DIV/0!</v>
      </c>
      <c r="O82" s="5" t="e">
        <f t="shared" si="23"/>
        <v>#DIV/0!</v>
      </c>
    </row>
    <row r="83" spans="1:15" ht="15.6" customHeight="1" x14ac:dyDescent="0.3">
      <c r="A83" s="3"/>
      <c r="B83" s="3"/>
      <c r="C83" s="3"/>
      <c r="D83" s="4"/>
      <c r="E83" s="3"/>
      <c r="F83" s="4"/>
      <c r="G83" s="4"/>
      <c r="H83" s="4"/>
      <c r="I83" s="4"/>
      <c r="J83" s="4" t="e">
        <f t="shared" si="18"/>
        <v>#DIV/0!</v>
      </c>
      <c r="K83" s="5" t="e">
        <f t="shared" si="19"/>
        <v>#DIV/0!</v>
      </c>
      <c r="L83" s="5" t="e">
        <f t="shared" si="20"/>
        <v>#DIV/0!</v>
      </c>
      <c r="M83" s="5" t="e">
        <f t="shared" si="21"/>
        <v>#DIV/0!</v>
      </c>
      <c r="N83" s="5" t="e">
        <f t="shared" si="22"/>
        <v>#DIV/0!</v>
      </c>
      <c r="O83" s="5" t="e">
        <f t="shared" si="23"/>
        <v>#DIV/0!</v>
      </c>
    </row>
    <row r="84" spans="1:15" ht="15.6" customHeight="1" x14ac:dyDescent="0.3">
      <c r="A84" s="3"/>
      <c r="B84" s="3"/>
      <c r="C84" s="3"/>
      <c r="D84" s="4"/>
      <c r="E84" s="3"/>
      <c r="F84" s="4"/>
      <c r="G84" s="4"/>
      <c r="H84" s="4"/>
      <c r="I84" s="4"/>
      <c r="J84" s="4" t="e">
        <f t="shared" si="18"/>
        <v>#DIV/0!</v>
      </c>
      <c r="K84" s="5" t="e">
        <f t="shared" si="19"/>
        <v>#DIV/0!</v>
      </c>
      <c r="L84" s="5" t="e">
        <f t="shared" si="20"/>
        <v>#DIV/0!</v>
      </c>
      <c r="M84" s="5" t="e">
        <f t="shared" si="21"/>
        <v>#DIV/0!</v>
      </c>
      <c r="N84" s="5" t="e">
        <f t="shared" si="22"/>
        <v>#DIV/0!</v>
      </c>
      <c r="O84" s="5" t="e">
        <f t="shared" si="23"/>
        <v>#DIV/0!</v>
      </c>
    </row>
    <row r="85" spans="1:15" x14ac:dyDescent="0.3">
      <c r="J85" s="4" t="e">
        <f t="shared" si="18"/>
        <v>#DIV/0!</v>
      </c>
      <c r="K85" s="5" t="e">
        <f t="shared" si="19"/>
        <v>#DIV/0!</v>
      </c>
      <c r="L85" s="5" t="e">
        <f t="shared" si="20"/>
        <v>#DIV/0!</v>
      </c>
      <c r="M85" s="5" t="e">
        <f t="shared" si="21"/>
        <v>#DIV/0!</v>
      </c>
      <c r="N85" s="5" t="e">
        <f t="shared" si="22"/>
        <v>#DIV/0!</v>
      </c>
      <c r="O85" s="5" t="e">
        <f t="shared" si="23"/>
        <v>#DIV/0!</v>
      </c>
    </row>
    <row r="86" spans="1:15" x14ac:dyDescent="0.3">
      <c r="J86" s="4" t="e">
        <f t="shared" si="18"/>
        <v>#DIV/0!</v>
      </c>
      <c r="K86" s="5" t="e">
        <f t="shared" si="19"/>
        <v>#DIV/0!</v>
      </c>
      <c r="L86" s="5" t="e">
        <f t="shared" si="20"/>
        <v>#DIV/0!</v>
      </c>
      <c r="M86" s="5" t="e">
        <f t="shared" si="21"/>
        <v>#DIV/0!</v>
      </c>
      <c r="N86" s="5" t="e">
        <f t="shared" si="22"/>
        <v>#DIV/0!</v>
      </c>
      <c r="O86" s="5" t="e">
        <f t="shared" si="23"/>
        <v>#DIV/0!</v>
      </c>
    </row>
    <row r="87" spans="1:15" x14ac:dyDescent="0.3">
      <c r="J87" s="4" t="e">
        <f t="shared" si="18"/>
        <v>#DIV/0!</v>
      </c>
      <c r="K87" s="5" t="e">
        <f t="shared" si="19"/>
        <v>#DIV/0!</v>
      </c>
      <c r="L87" s="5" t="e">
        <f t="shared" si="20"/>
        <v>#DIV/0!</v>
      </c>
      <c r="M87" s="5" t="e">
        <f t="shared" si="21"/>
        <v>#DIV/0!</v>
      </c>
      <c r="N87" s="5" t="e">
        <f t="shared" si="22"/>
        <v>#DIV/0!</v>
      </c>
      <c r="O87" s="5" t="e">
        <f t="shared" si="23"/>
        <v>#DIV/0!</v>
      </c>
    </row>
    <row r="88" spans="1:15" x14ac:dyDescent="0.3">
      <c r="J88" s="4" t="e">
        <f t="shared" si="18"/>
        <v>#DIV/0!</v>
      </c>
      <c r="K88" s="5" t="e">
        <f t="shared" si="19"/>
        <v>#DIV/0!</v>
      </c>
      <c r="L88" s="5" t="e">
        <f t="shared" si="20"/>
        <v>#DIV/0!</v>
      </c>
      <c r="M88" s="5" t="e">
        <f t="shared" si="21"/>
        <v>#DIV/0!</v>
      </c>
      <c r="N88" s="5" t="e">
        <f t="shared" si="22"/>
        <v>#DIV/0!</v>
      </c>
      <c r="O88" s="5" t="e">
        <f t="shared" si="23"/>
        <v>#DIV/0!</v>
      </c>
    </row>
    <row r="89" spans="1:15" x14ac:dyDescent="0.3">
      <c r="J89" s="4" t="e">
        <f t="shared" si="18"/>
        <v>#DIV/0!</v>
      </c>
      <c r="K89" s="5" t="e">
        <f t="shared" si="19"/>
        <v>#DIV/0!</v>
      </c>
      <c r="L89" s="5" t="e">
        <f t="shared" si="20"/>
        <v>#DIV/0!</v>
      </c>
      <c r="M89" s="5" t="e">
        <f t="shared" si="21"/>
        <v>#DIV/0!</v>
      </c>
      <c r="N89" s="5" t="e">
        <f t="shared" si="22"/>
        <v>#DIV/0!</v>
      </c>
      <c r="O89" s="5" t="e">
        <f t="shared" si="23"/>
        <v>#DIV/0!</v>
      </c>
    </row>
    <row r="107" spans="10:15" ht="18.75" customHeight="1" x14ac:dyDescent="0.3">
      <c r="J107" s="4"/>
      <c r="K107" s="5"/>
      <c r="L107" s="5"/>
      <c r="M107" s="5"/>
      <c r="N107" s="5"/>
      <c r="O107" s="5"/>
    </row>
  </sheetData>
  <pageMargins left="0.7" right="0.7" top="0.75" bottom="0.75" header="0.3" footer="0.3"/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8BD022-FF09-4066-BF99-9CD0851B8F39}">
  <sheetPr>
    <outlinePr summaryBelow="0"/>
  </sheetPr>
  <dimension ref="A1:O107"/>
  <sheetViews>
    <sheetView topLeftCell="E1" zoomScale="115" zoomScaleNormal="115" workbookViewId="0">
      <pane ySplit="1" topLeftCell="A2" activePane="bottomLeft" state="frozen"/>
      <selection activeCell="G30" sqref="G30"/>
      <selection pane="bottomLeft" activeCell="Q4" sqref="Q4"/>
    </sheetView>
  </sheetViews>
  <sheetFormatPr defaultRowHeight="14.4" x14ac:dyDescent="0.3"/>
  <cols>
    <col min="1" max="1" width="13.33203125" style="1" bestFit="1" customWidth="1"/>
    <col min="2" max="2" width="10.33203125" style="1" customWidth="1"/>
    <col min="3" max="3" width="10.77734375" style="1" customWidth="1"/>
    <col min="4" max="4" width="10.21875" style="2" customWidth="1"/>
    <col min="5" max="5" width="11.77734375" style="1" customWidth="1"/>
    <col min="6" max="6" width="9.44140625" style="2" customWidth="1"/>
    <col min="7" max="9" width="10" style="2" customWidth="1"/>
    <col min="10" max="10" width="9" style="2" customWidth="1"/>
    <col min="11" max="15" width="12.44140625" style="2" customWidth="1"/>
    <col min="16" max="16" width="12.44140625" customWidth="1"/>
  </cols>
  <sheetData>
    <row r="1" spans="1:15" s="6" customFormat="1" ht="15.6" customHeight="1" x14ac:dyDescent="0.3">
      <c r="A1" s="11" t="s">
        <v>14</v>
      </c>
      <c r="B1" s="11" t="s">
        <v>0</v>
      </c>
      <c r="C1" s="11" t="s">
        <v>1</v>
      </c>
      <c r="D1" s="12" t="s">
        <v>2</v>
      </c>
      <c r="E1" s="11" t="s">
        <v>3</v>
      </c>
      <c r="F1" s="12" t="s">
        <v>4</v>
      </c>
      <c r="G1" s="12" t="s">
        <v>5</v>
      </c>
      <c r="H1" s="12" t="s">
        <v>6</v>
      </c>
      <c r="I1" s="12" t="s">
        <v>19</v>
      </c>
      <c r="J1" s="12" t="s">
        <v>7</v>
      </c>
      <c r="K1" s="12" t="s">
        <v>8</v>
      </c>
      <c r="L1" s="12" t="s">
        <v>9</v>
      </c>
      <c r="M1" s="12" t="s">
        <v>10</v>
      </c>
      <c r="N1" s="12" t="s">
        <v>11</v>
      </c>
      <c r="O1" s="12" t="s">
        <v>12</v>
      </c>
    </row>
    <row r="2" spans="1:15" ht="15.6" customHeight="1" x14ac:dyDescent="0.3">
      <c r="A2" s="13" t="s">
        <v>13</v>
      </c>
      <c r="B2" s="7"/>
      <c r="C2" s="7"/>
      <c r="D2" s="8"/>
      <c r="E2" s="7"/>
      <c r="F2" s="8"/>
      <c r="G2" s="8"/>
      <c r="H2" s="8"/>
      <c r="I2" s="8"/>
      <c r="J2" s="9"/>
      <c r="K2" s="10"/>
      <c r="L2" s="10"/>
      <c r="M2" s="10"/>
      <c r="N2" s="10"/>
      <c r="O2" s="10"/>
    </row>
    <row r="3" spans="1:15" ht="15.6" customHeight="1" x14ac:dyDescent="0.3">
      <c r="A3" s="1">
        <v>1</v>
      </c>
      <c r="B3" s="1">
        <v>200</v>
      </c>
      <c r="C3" s="1">
        <v>4000</v>
      </c>
      <c r="D3" s="2">
        <v>0.1</v>
      </c>
      <c r="E3" s="1">
        <v>10</v>
      </c>
      <c r="F3" s="2">
        <v>0</v>
      </c>
      <c r="G3" s="2">
        <v>93.3</v>
      </c>
      <c r="H3" s="2">
        <v>49.96</v>
      </c>
      <c r="I3" s="2">
        <v>0</v>
      </c>
      <c r="J3" s="4">
        <f t="shared" ref="J3:J23" si="0">H3/SQRT(C3)</f>
        <v>0.78993695951006115</v>
      </c>
      <c r="K3" s="5">
        <f t="shared" ref="K3:K23" si="1">-10*LOG10(G3/(B3*3))</f>
        <v>8.0826960663714367</v>
      </c>
      <c r="L3" s="5">
        <f t="shared" ref="L3:L23" si="2">-10*LOG10((G3+1.96*J3)/(B3*3))</f>
        <v>8.0112180697889297</v>
      </c>
      <c r="M3" s="5">
        <f t="shared" ref="M3:M23" si="3">-10*LOG10((G3-1.96*J3)/(B3*3))</f>
        <v>8.155370191457429</v>
      </c>
      <c r="N3" s="5">
        <f t="shared" ref="N3:N23" si="4">K3-L3</f>
        <v>7.1477996582506975E-2</v>
      </c>
      <c r="O3" s="5">
        <f t="shared" ref="O3:O23" si="5">M3-K3</f>
        <v>7.2674125085992358E-2</v>
      </c>
    </row>
    <row r="4" spans="1:15" ht="15.6" customHeight="1" x14ac:dyDescent="0.3">
      <c r="A4" s="1">
        <v>1</v>
      </c>
      <c r="B4" s="1">
        <v>200</v>
      </c>
      <c r="C4" s="1">
        <v>4000</v>
      </c>
      <c r="D4" s="2">
        <v>0.1</v>
      </c>
      <c r="E4" s="1">
        <v>10</v>
      </c>
      <c r="F4" s="2">
        <v>0</v>
      </c>
      <c r="G4" s="2">
        <v>92.04</v>
      </c>
      <c r="H4" s="2">
        <v>49.2</v>
      </c>
      <c r="I4" s="2">
        <v>1</v>
      </c>
      <c r="J4" s="4">
        <f t="shared" si="0"/>
        <v>0.77792030440142135</v>
      </c>
      <c r="K4" s="5">
        <f t="shared" si="1"/>
        <v>8.1417464038703784</v>
      </c>
      <c r="L4" s="5">
        <f t="shared" si="2"/>
        <v>8.0703911049342523</v>
      </c>
      <c r="M4" s="5">
        <f t="shared" si="3"/>
        <v>8.2142936939989077</v>
      </c>
      <c r="N4" s="5">
        <f t="shared" si="4"/>
        <v>7.1355298936126133E-2</v>
      </c>
      <c r="O4" s="5">
        <f t="shared" si="5"/>
        <v>7.254729012852934E-2</v>
      </c>
    </row>
    <row r="5" spans="1:15" ht="15.6" customHeight="1" x14ac:dyDescent="0.3">
      <c r="A5" s="3">
        <v>1</v>
      </c>
      <c r="B5" s="3">
        <v>200</v>
      </c>
      <c r="C5" s="3">
        <v>4000</v>
      </c>
      <c r="D5" s="4">
        <v>0.1</v>
      </c>
      <c r="E5" s="3">
        <v>10</v>
      </c>
      <c r="F5" s="4">
        <v>0</v>
      </c>
      <c r="G5" s="4">
        <v>91.12</v>
      </c>
      <c r="H5" s="4">
        <v>48.84</v>
      </c>
      <c r="I5" s="4">
        <v>2</v>
      </c>
      <c r="J5" s="4">
        <f t="shared" si="0"/>
        <v>0.77222820461311825</v>
      </c>
      <c r="K5" s="5">
        <f t="shared" si="1"/>
        <v>8.1853753931259963</v>
      </c>
      <c r="L5" s="5">
        <f t="shared" si="2"/>
        <v>8.1138286150617347</v>
      </c>
      <c r="M5" s="5">
        <f t="shared" si="3"/>
        <v>8.2581206221630481</v>
      </c>
      <c r="N5" s="5">
        <f t="shared" si="4"/>
        <v>7.1546778064261574E-2</v>
      </c>
      <c r="O5" s="5">
        <f t="shared" si="5"/>
        <v>7.2745229037051828E-2</v>
      </c>
    </row>
    <row r="6" spans="1:15" ht="15.6" customHeight="1" x14ac:dyDescent="0.3">
      <c r="A6" s="3">
        <v>1</v>
      </c>
      <c r="B6" s="3">
        <v>200</v>
      </c>
      <c r="C6" s="3">
        <v>4000</v>
      </c>
      <c r="D6" s="4">
        <v>0.1</v>
      </c>
      <c r="E6" s="3">
        <v>10</v>
      </c>
      <c r="F6" s="4">
        <v>0</v>
      </c>
      <c r="G6" s="4">
        <v>93.27</v>
      </c>
      <c r="H6" s="4">
        <v>52.82</v>
      </c>
      <c r="I6" s="2">
        <v>3</v>
      </c>
      <c r="J6" s="4">
        <f t="shared" si="0"/>
        <v>0.835157530050469</v>
      </c>
      <c r="K6" s="5">
        <f t="shared" si="1"/>
        <v>8.0840927362078947</v>
      </c>
      <c r="L6" s="5">
        <f t="shared" si="2"/>
        <v>8.0085342229085654</v>
      </c>
      <c r="M6" s="5">
        <f t="shared" si="3"/>
        <v>8.1609891265299304</v>
      </c>
      <c r="N6" s="5">
        <f t="shared" si="4"/>
        <v>7.5558513299329277E-2</v>
      </c>
      <c r="O6" s="5">
        <f t="shared" si="5"/>
        <v>7.6896390322035657E-2</v>
      </c>
    </row>
    <row r="7" spans="1:15" ht="15.6" customHeight="1" x14ac:dyDescent="0.3">
      <c r="A7" s="3">
        <v>1</v>
      </c>
      <c r="B7" s="3">
        <v>200</v>
      </c>
      <c r="C7" s="3">
        <v>4000</v>
      </c>
      <c r="D7" s="4">
        <v>0.1</v>
      </c>
      <c r="E7" s="3">
        <v>10</v>
      </c>
      <c r="F7" s="4">
        <v>0</v>
      </c>
      <c r="G7" s="4">
        <v>90.94</v>
      </c>
      <c r="H7" s="4">
        <v>49.41</v>
      </c>
      <c r="I7" s="4">
        <v>4</v>
      </c>
      <c r="J7" s="4">
        <f t="shared" si="0"/>
        <v>0.78124069594459811</v>
      </c>
      <c r="K7" s="5">
        <f t="shared" si="1"/>
        <v>8.1939630051455428</v>
      </c>
      <c r="L7" s="5">
        <f t="shared" si="2"/>
        <v>8.1214460769194599</v>
      </c>
      <c r="M7" s="5">
        <f t="shared" si="3"/>
        <v>8.2677113863740122</v>
      </c>
      <c r="N7" s="5">
        <f t="shared" si="4"/>
        <v>7.2516928226082911E-2</v>
      </c>
      <c r="O7" s="5">
        <f t="shared" si="5"/>
        <v>7.3748381228469384E-2</v>
      </c>
    </row>
    <row r="8" spans="1:15" ht="15.6" customHeight="1" x14ac:dyDescent="0.3">
      <c r="A8" s="3">
        <v>1</v>
      </c>
      <c r="B8" s="3">
        <v>200</v>
      </c>
      <c r="C8" s="3">
        <v>4000</v>
      </c>
      <c r="D8" s="4">
        <v>0.1</v>
      </c>
      <c r="E8" s="3">
        <v>10</v>
      </c>
      <c r="F8" s="4">
        <v>0</v>
      </c>
      <c r="G8" s="4">
        <v>90.33</v>
      </c>
      <c r="H8" s="4">
        <v>49.5</v>
      </c>
      <c r="I8" s="2">
        <v>5</v>
      </c>
      <c r="J8" s="4">
        <f t="shared" si="0"/>
        <v>0.78266372089167391</v>
      </c>
      <c r="K8" s="5">
        <f t="shared" si="1"/>
        <v>8.22319240151222</v>
      </c>
      <c r="L8" s="5">
        <f t="shared" si="2"/>
        <v>8.1500579979376848</v>
      </c>
      <c r="M8" s="5">
        <f t="shared" si="3"/>
        <v>8.2975795004598982</v>
      </c>
      <c r="N8" s="5">
        <f t="shared" si="4"/>
        <v>7.3134403574535156E-2</v>
      </c>
      <c r="O8" s="5">
        <f t="shared" si="5"/>
        <v>7.4387098947678254E-2</v>
      </c>
    </row>
    <row r="9" spans="1:15" ht="15.6" customHeight="1" x14ac:dyDescent="0.3">
      <c r="A9" s="3">
        <v>1</v>
      </c>
      <c r="B9" s="3">
        <v>200</v>
      </c>
      <c r="C9" s="3">
        <v>4000</v>
      </c>
      <c r="D9" s="4">
        <v>0.1</v>
      </c>
      <c r="E9" s="3">
        <v>10</v>
      </c>
      <c r="F9" s="4">
        <v>0</v>
      </c>
      <c r="G9" s="4">
        <v>92.09</v>
      </c>
      <c r="H9" s="4">
        <v>51.76</v>
      </c>
      <c r="I9" s="4">
        <v>6</v>
      </c>
      <c r="J9" s="4">
        <f t="shared" si="0"/>
        <v>0.81839745845157652</v>
      </c>
      <c r="K9" s="5">
        <f t="shared" si="1"/>
        <v>8.1393877741382443</v>
      </c>
      <c r="L9" s="5">
        <f t="shared" si="2"/>
        <v>8.0643919649963856</v>
      </c>
      <c r="M9" s="5">
        <f t="shared" si="3"/>
        <v>8.2157014331647442</v>
      </c>
      <c r="N9" s="5">
        <f t="shared" si="4"/>
        <v>7.4995809141858771E-2</v>
      </c>
      <c r="O9" s="5">
        <f t="shared" si="5"/>
        <v>7.6313659026499892E-2</v>
      </c>
    </row>
    <row r="10" spans="1:15" ht="15.6" customHeight="1" x14ac:dyDescent="0.3">
      <c r="A10" s="3">
        <v>1</v>
      </c>
      <c r="B10" s="3">
        <v>200</v>
      </c>
      <c r="C10" s="3">
        <v>4000</v>
      </c>
      <c r="D10" s="4">
        <v>0.1</v>
      </c>
      <c r="E10" s="3">
        <v>10</v>
      </c>
      <c r="F10" s="4">
        <v>0</v>
      </c>
      <c r="G10" s="4">
        <v>91.12</v>
      </c>
      <c r="H10" s="4">
        <v>47</v>
      </c>
      <c r="I10" s="2">
        <v>7</v>
      </c>
      <c r="J10" s="4">
        <f t="shared" si="0"/>
        <v>0.74313525013956916</v>
      </c>
      <c r="K10" s="5">
        <f t="shared" si="1"/>
        <v>8.1853753931259963</v>
      </c>
      <c r="L10" s="5">
        <f t="shared" si="2"/>
        <v>8.1165028128430592</v>
      </c>
      <c r="M10" s="5">
        <f t="shared" si="3"/>
        <v>8.2553578130868104</v>
      </c>
      <c r="N10" s="5">
        <f t="shared" si="4"/>
        <v>6.8872580282937079E-2</v>
      </c>
      <c r="O10" s="5">
        <f t="shared" si="5"/>
        <v>6.9982419960814113E-2</v>
      </c>
    </row>
    <row r="11" spans="1:15" ht="15.6" customHeight="1" x14ac:dyDescent="0.3">
      <c r="A11" s="3">
        <v>1</v>
      </c>
      <c r="B11" s="3">
        <v>200</v>
      </c>
      <c r="C11" s="3">
        <v>4000</v>
      </c>
      <c r="D11" s="4">
        <v>0.1</v>
      </c>
      <c r="E11" s="3">
        <v>10</v>
      </c>
      <c r="F11" s="4">
        <v>0</v>
      </c>
      <c r="G11" s="4">
        <v>92.12</v>
      </c>
      <c r="H11" s="4">
        <v>47.69</v>
      </c>
      <c r="I11" s="4">
        <v>8</v>
      </c>
      <c r="J11" s="4">
        <f t="shared" si="0"/>
        <v>0.75404510806715008</v>
      </c>
      <c r="K11" s="5">
        <f t="shared" si="1"/>
        <v>8.1379732109145007</v>
      </c>
      <c r="L11" s="5">
        <f t="shared" si="2"/>
        <v>8.0688501371044374</v>
      </c>
      <c r="M11" s="5">
        <f t="shared" si="3"/>
        <v>8.2082142778869542</v>
      </c>
      <c r="N11" s="5">
        <f t="shared" si="4"/>
        <v>6.9123073810063218E-2</v>
      </c>
      <c r="O11" s="5">
        <f t="shared" si="5"/>
        <v>7.0241066972453581E-2</v>
      </c>
    </row>
    <row r="12" spans="1:15" ht="15.6" customHeight="1" x14ac:dyDescent="0.3">
      <c r="A12" s="3">
        <v>1</v>
      </c>
      <c r="B12" s="3">
        <v>200</v>
      </c>
      <c r="C12" s="3">
        <v>4000</v>
      </c>
      <c r="D12" s="4">
        <v>0.1</v>
      </c>
      <c r="E12" s="3">
        <v>10</v>
      </c>
      <c r="F12" s="4">
        <v>0</v>
      </c>
      <c r="G12" s="4">
        <v>93.56</v>
      </c>
      <c r="H12" s="4">
        <v>47.33</v>
      </c>
      <c r="I12" s="2">
        <v>9</v>
      </c>
      <c r="J12" s="4">
        <f t="shared" si="0"/>
        <v>0.74835300827884699</v>
      </c>
      <c r="K12" s="5">
        <f t="shared" si="1"/>
        <v>8.070610372465282</v>
      </c>
      <c r="L12" s="5">
        <f t="shared" si="2"/>
        <v>8.0030527405452432</v>
      </c>
      <c r="M12" s="5">
        <f t="shared" si="3"/>
        <v>8.1392355401188503</v>
      </c>
      <c r="N12" s="5">
        <f t="shared" si="4"/>
        <v>6.755763192003883E-2</v>
      </c>
      <c r="O12" s="5">
        <f t="shared" si="5"/>
        <v>6.8625167653568298E-2</v>
      </c>
    </row>
    <row r="13" spans="1:15" ht="15.6" customHeight="1" x14ac:dyDescent="0.3">
      <c r="A13" s="3">
        <v>1</v>
      </c>
      <c r="B13" s="3">
        <v>200</v>
      </c>
      <c r="C13" s="3">
        <v>4000</v>
      </c>
      <c r="D13" s="4">
        <v>0.1</v>
      </c>
      <c r="E13" s="3">
        <v>10</v>
      </c>
      <c r="F13" s="4">
        <v>0</v>
      </c>
      <c r="G13" s="4">
        <v>97.71</v>
      </c>
      <c r="H13" s="4">
        <v>52.68</v>
      </c>
      <c r="I13" s="4">
        <v>10</v>
      </c>
      <c r="J13" s="4">
        <f t="shared" si="0"/>
        <v>0.83294393568835112</v>
      </c>
      <c r="K13" s="5">
        <f t="shared" si="1"/>
        <v>7.8821223709910804</v>
      </c>
      <c r="L13" s="5">
        <f t="shared" si="2"/>
        <v>7.8101585884898803</v>
      </c>
      <c r="M13" s="5">
        <f t="shared" si="3"/>
        <v>7.9552987340381378</v>
      </c>
      <c r="N13" s="5">
        <f t="shared" si="4"/>
        <v>7.1963782501200058E-2</v>
      </c>
      <c r="O13" s="5">
        <f t="shared" si="5"/>
        <v>7.3176363047057436E-2</v>
      </c>
    </row>
    <row r="14" spans="1:15" ht="15.6" customHeight="1" x14ac:dyDescent="0.3">
      <c r="A14" s="3"/>
      <c r="B14" s="3"/>
      <c r="C14" s="3"/>
      <c r="D14" s="4"/>
      <c r="E14" s="3"/>
      <c r="F14" s="4"/>
      <c r="G14" s="4"/>
      <c r="H14" s="4"/>
      <c r="I14" s="4"/>
      <c r="J14" s="4" t="e">
        <f t="shared" si="0"/>
        <v>#DIV/0!</v>
      </c>
      <c r="K14" s="5" t="e">
        <f t="shared" si="1"/>
        <v>#DIV/0!</v>
      </c>
      <c r="L14" s="5" t="e">
        <f t="shared" si="2"/>
        <v>#DIV/0!</v>
      </c>
      <c r="M14" s="5" t="e">
        <f t="shared" si="3"/>
        <v>#DIV/0!</v>
      </c>
      <c r="N14" s="5" t="e">
        <f t="shared" si="4"/>
        <v>#DIV/0!</v>
      </c>
      <c r="O14" s="5" t="e">
        <f t="shared" si="5"/>
        <v>#DIV/0!</v>
      </c>
    </row>
    <row r="15" spans="1:15" ht="15.6" customHeight="1" x14ac:dyDescent="0.3">
      <c r="A15" s="3"/>
      <c r="B15" s="3"/>
      <c r="C15" s="3"/>
      <c r="D15" s="4"/>
      <c r="E15" s="3"/>
      <c r="F15" s="4"/>
      <c r="G15" s="4"/>
      <c r="H15" s="4"/>
      <c r="I15" s="4"/>
      <c r="J15" s="4" t="e">
        <f t="shared" si="0"/>
        <v>#DIV/0!</v>
      </c>
      <c r="K15" s="5" t="e">
        <f t="shared" si="1"/>
        <v>#DIV/0!</v>
      </c>
      <c r="L15" s="5" t="e">
        <f t="shared" si="2"/>
        <v>#DIV/0!</v>
      </c>
      <c r="M15" s="5" t="e">
        <f t="shared" si="3"/>
        <v>#DIV/0!</v>
      </c>
      <c r="N15" s="5" t="e">
        <f t="shared" si="4"/>
        <v>#DIV/0!</v>
      </c>
      <c r="O15" s="5" t="e">
        <f t="shared" si="5"/>
        <v>#DIV/0!</v>
      </c>
    </row>
    <row r="16" spans="1:15" ht="15.6" customHeight="1" x14ac:dyDescent="0.3">
      <c r="A16" s="3"/>
      <c r="B16" s="3"/>
      <c r="C16" s="3"/>
      <c r="D16" s="4"/>
      <c r="E16" s="3"/>
      <c r="F16" s="4"/>
      <c r="G16" s="4"/>
      <c r="H16" s="4"/>
      <c r="I16" s="4"/>
      <c r="J16" s="4" t="e">
        <f t="shared" si="0"/>
        <v>#DIV/0!</v>
      </c>
      <c r="K16" s="5" t="e">
        <f t="shared" si="1"/>
        <v>#DIV/0!</v>
      </c>
      <c r="L16" s="5" t="e">
        <f t="shared" si="2"/>
        <v>#DIV/0!</v>
      </c>
      <c r="M16" s="5" t="e">
        <f t="shared" si="3"/>
        <v>#DIV/0!</v>
      </c>
      <c r="N16" s="5" t="e">
        <f t="shared" si="4"/>
        <v>#DIV/0!</v>
      </c>
      <c r="O16" s="5" t="e">
        <f t="shared" si="5"/>
        <v>#DIV/0!</v>
      </c>
    </row>
    <row r="17" spans="1:15" ht="15.6" customHeight="1" x14ac:dyDescent="0.3">
      <c r="A17" s="3"/>
      <c r="B17" s="3"/>
      <c r="C17" s="3"/>
      <c r="D17" s="4"/>
      <c r="E17" s="3"/>
      <c r="F17" s="4"/>
      <c r="G17" s="4"/>
      <c r="H17" s="4"/>
      <c r="I17" s="4"/>
      <c r="J17" s="4" t="e">
        <f t="shared" si="0"/>
        <v>#DIV/0!</v>
      </c>
      <c r="K17" s="5" t="e">
        <f t="shared" si="1"/>
        <v>#DIV/0!</v>
      </c>
      <c r="L17" s="5" t="e">
        <f t="shared" si="2"/>
        <v>#DIV/0!</v>
      </c>
      <c r="M17" s="5" t="e">
        <f t="shared" si="3"/>
        <v>#DIV/0!</v>
      </c>
      <c r="N17" s="5" t="e">
        <f t="shared" si="4"/>
        <v>#DIV/0!</v>
      </c>
      <c r="O17" s="5" t="e">
        <f t="shared" si="5"/>
        <v>#DIV/0!</v>
      </c>
    </row>
    <row r="18" spans="1:15" ht="15.6" customHeight="1" x14ac:dyDescent="0.3">
      <c r="A18" s="3"/>
      <c r="B18" s="3"/>
      <c r="C18" s="3"/>
      <c r="D18" s="4"/>
      <c r="E18" s="3"/>
      <c r="F18" s="4"/>
      <c r="G18" s="4"/>
      <c r="H18" s="4"/>
      <c r="I18" s="4"/>
      <c r="J18" s="4" t="e">
        <f t="shared" si="0"/>
        <v>#DIV/0!</v>
      </c>
      <c r="K18" s="5" t="e">
        <f t="shared" si="1"/>
        <v>#DIV/0!</v>
      </c>
      <c r="L18" s="5" t="e">
        <f t="shared" si="2"/>
        <v>#DIV/0!</v>
      </c>
      <c r="M18" s="5" t="e">
        <f t="shared" si="3"/>
        <v>#DIV/0!</v>
      </c>
      <c r="N18" s="5" t="e">
        <f t="shared" si="4"/>
        <v>#DIV/0!</v>
      </c>
      <c r="O18" s="5" t="e">
        <f t="shared" si="5"/>
        <v>#DIV/0!</v>
      </c>
    </row>
    <row r="19" spans="1:15" ht="15.6" customHeight="1" x14ac:dyDescent="0.3">
      <c r="A19" s="3"/>
      <c r="B19" s="3"/>
      <c r="C19" s="3"/>
      <c r="D19" s="4"/>
      <c r="E19" s="3"/>
      <c r="F19" s="4"/>
      <c r="G19" s="4"/>
      <c r="H19" s="4"/>
      <c r="I19" s="4"/>
      <c r="J19" s="4" t="e">
        <f t="shared" si="0"/>
        <v>#DIV/0!</v>
      </c>
      <c r="K19" s="5" t="e">
        <f t="shared" si="1"/>
        <v>#DIV/0!</v>
      </c>
      <c r="L19" s="5" t="e">
        <f t="shared" si="2"/>
        <v>#DIV/0!</v>
      </c>
      <c r="M19" s="5" t="e">
        <f t="shared" si="3"/>
        <v>#DIV/0!</v>
      </c>
      <c r="N19" s="5" t="e">
        <f t="shared" si="4"/>
        <v>#DIV/0!</v>
      </c>
      <c r="O19" s="5" t="e">
        <f t="shared" si="5"/>
        <v>#DIV/0!</v>
      </c>
    </row>
    <row r="20" spans="1:15" ht="15.6" customHeight="1" x14ac:dyDescent="0.3">
      <c r="A20" s="3"/>
      <c r="B20" s="3"/>
      <c r="C20" s="3"/>
      <c r="D20" s="4"/>
      <c r="E20" s="3"/>
      <c r="F20" s="4"/>
      <c r="G20" s="4"/>
      <c r="H20" s="4"/>
      <c r="I20" s="4"/>
      <c r="J20" s="4" t="e">
        <f t="shared" si="0"/>
        <v>#DIV/0!</v>
      </c>
      <c r="K20" s="5" t="e">
        <f t="shared" si="1"/>
        <v>#DIV/0!</v>
      </c>
      <c r="L20" s="5" t="e">
        <f t="shared" si="2"/>
        <v>#DIV/0!</v>
      </c>
      <c r="M20" s="5" t="e">
        <f t="shared" si="3"/>
        <v>#DIV/0!</v>
      </c>
      <c r="N20" s="5" t="e">
        <f t="shared" si="4"/>
        <v>#DIV/0!</v>
      </c>
      <c r="O20" s="5" t="e">
        <f t="shared" si="5"/>
        <v>#DIV/0!</v>
      </c>
    </row>
    <row r="21" spans="1:15" ht="15.6" customHeight="1" x14ac:dyDescent="0.3">
      <c r="A21" s="3"/>
      <c r="B21" s="3"/>
      <c r="C21" s="3"/>
      <c r="D21" s="4"/>
      <c r="E21" s="3"/>
      <c r="F21" s="4"/>
      <c r="G21" s="4"/>
      <c r="H21" s="4"/>
      <c r="I21" s="4"/>
      <c r="J21" s="4" t="e">
        <f t="shared" si="0"/>
        <v>#DIV/0!</v>
      </c>
      <c r="K21" s="5" t="e">
        <f t="shared" si="1"/>
        <v>#DIV/0!</v>
      </c>
      <c r="L21" s="5" t="e">
        <f t="shared" si="2"/>
        <v>#DIV/0!</v>
      </c>
      <c r="M21" s="5" t="e">
        <f t="shared" si="3"/>
        <v>#DIV/0!</v>
      </c>
      <c r="N21" s="5" t="e">
        <f t="shared" si="4"/>
        <v>#DIV/0!</v>
      </c>
      <c r="O21" s="5" t="e">
        <f t="shared" si="5"/>
        <v>#DIV/0!</v>
      </c>
    </row>
    <row r="22" spans="1:15" ht="15.6" customHeight="1" x14ac:dyDescent="0.3">
      <c r="A22" s="3"/>
      <c r="B22" s="3"/>
      <c r="C22" s="3"/>
      <c r="D22" s="4"/>
      <c r="E22" s="3"/>
      <c r="F22" s="4"/>
      <c r="G22" s="4"/>
      <c r="H22" s="4"/>
      <c r="I22" s="4"/>
      <c r="J22" s="4" t="e">
        <f t="shared" si="0"/>
        <v>#DIV/0!</v>
      </c>
      <c r="K22" s="5" t="e">
        <f t="shared" si="1"/>
        <v>#DIV/0!</v>
      </c>
      <c r="L22" s="5" t="e">
        <f t="shared" si="2"/>
        <v>#DIV/0!</v>
      </c>
      <c r="M22" s="5" t="e">
        <f t="shared" si="3"/>
        <v>#DIV/0!</v>
      </c>
      <c r="N22" s="5" t="e">
        <f t="shared" si="4"/>
        <v>#DIV/0!</v>
      </c>
      <c r="O22" s="5" t="e">
        <f t="shared" si="5"/>
        <v>#DIV/0!</v>
      </c>
    </row>
    <row r="23" spans="1:15" ht="15.6" customHeight="1" x14ac:dyDescent="0.3">
      <c r="A23" s="3"/>
      <c r="B23" s="3"/>
      <c r="C23" s="3"/>
      <c r="D23" s="4"/>
      <c r="E23" s="3"/>
      <c r="F23" s="4"/>
      <c r="G23" s="4"/>
      <c r="H23" s="4"/>
      <c r="I23" s="4"/>
      <c r="J23" s="4" t="e">
        <f t="shared" si="0"/>
        <v>#DIV/0!</v>
      </c>
      <c r="K23" s="5" t="e">
        <f t="shared" si="1"/>
        <v>#DIV/0!</v>
      </c>
      <c r="L23" s="5" t="e">
        <f t="shared" si="2"/>
        <v>#DIV/0!</v>
      </c>
      <c r="M23" s="5" t="e">
        <f t="shared" si="3"/>
        <v>#DIV/0!</v>
      </c>
      <c r="N23" s="5" t="e">
        <f t="shared" si="4"/>
        <v>#DIV/0!</v>
      </c>
      <c r="O23" s="5" t="e">
        <f t="shared" si="5"/>
        <v>#DIV/0!</v>
      </c>
    </row>
    <row r="24" spans="1:15" ht="15.6" customHeight="1" x14ac:dyDescent="0.3">
      <c r="A24" s="13" t="s">
        <v>15</v>
      </c>
      <c r="B24" s="7"/>
      <c r="C24" s="7"/>
      <c r="D24" s="8"/>
      <c r="E24" s="7"/>
      <c r="F24" s="8"/>
      <c r="G24" s="8"/>
      <c r="H24" s="8"/>
      <c r="I24" s="8"/>
      <c r="J24" s="9"/>
      <c r="K24" s="10"/>
      <c r="L24" s="10"/>
      <c r="M24" s="10"/>
      <c r="N24" s="10"/>
      <c r="O24" s="10"/>
    </row>
    <row r="25" spans="1:15" ht="15.6" customHeight="1" x14ac:dyDescent="0.3">
      <c r="A25" s="3">
        <v>2</v>
      </c>
      <c r="B25" s="3">
        <v>200</v>
      </c>
      <c r="C25" s="3">
        <v>4000</v>
      </c>
      <c r="D25" s="4">
        <v>0.1</v>
      </c>
      <c r="E25" s="3">
        <v>10</v>
      </c>
      <c r="F25" s="4">
        <v>0</v>
      </c>
      <c r="G25" s="4">
        <v>69.650000000000006</v>
      </c>
      <c r="H25" s="4">
        <v>14.71</v>
      </c>
      <c r="I25" s="4">
        <v>0</v>
      </c>
      <c r="J25" s="4">
        <f t="shared" ref="J25:J45" si="6">H25/SQRT(C25)</f>
        <v>0.23258552190538431</v>
      </c>
      <c r="K25" s="5">
        <f t="shared" ref="K25:K45" si="7">-10*LOG10(G25/(B25*3))</f>
        <v>9.3523012962366128</v>
      </c>
      <c r="L25" s="5">
        <f t="shared" ref="L25:L45" si="8">-10*LOG10((G25+1.96*J25)/(B25*3))</f>
        <v>9.3239688192314247</v>
      </c>
      <c r="M25" s="5">
        <f t="shared" ref="M25:M45" si="9">-10*LOG10((G25-1.96*J25)/(B25*3))</f>
        <v>9.3808198228968198</v>
      </c>
      <c r="N25" s="5">
        <f t="shared" ref="N25:N45" si="10">K25-L25</f>
        <v>2.8332477005188039E-2</v>
      </c>
      <c r="O25" s="5">
        <f t="shared" ref="O25:O45" si="11">M25-K25</f>
        <v>2.8518526660207044E-2</v>
      </c>
    </row>
    <row r="26" spans="1:15" ht="15.6" customHeight="1" x14ac:dyDescent="0.3">
      <c r="A26" s="3">
        <v>2</v>
      </c>
      <c r="B26" s="3">
        <v>200</v>
      </c>
      <c r="C26" s="3">
        <v>4000</v>
      </c>
      <c r="D26" s="4">
        <v>0.1</v>
      </c>
      <c r="E26" s="3">
        <v>10</v>
      </c>
      <c r="F26" s="4">
        <v>0</v>
      </c>
      <c r="G26" s="4">
        <v>68.28</v>
      </c>
      <c r="H26" s="4">
        <v>14.45</v>
      </c>
      <c r="I26" s="4">
        <v>1</v>
      </c>
      <c r="J26" s="4">
        <f t="shared" si="6"/>
        <v>0.22847456094716539</v>
      </c>
      <c r="K26" s="5">
        <f t="shared" si="7"/>
        <v>9.4385773794094767</v>
      </c>
      <c r="L26" s="5">
        <f t="shared" si="8"/>
        <v>9.4101874409282189</v>
      </c>
      <c r="M26" s="5">
        <f t="shared" si="9"/>
        <v>9.4671541254612386</v>
      </c>
      <c r="N26" s="5">
        <f t="shared" si="10"/>
        <v>2.8389938481257815E-2</v>
      </c>
      <c r="O26" s="5">
        <f t="shared" si="11"/>
        <v>2.8576746051761859E-2</v>
      </c>
    </row>
    <row r="27" spans="1:15" ht="15.6" customHeight="1" x14ac:dyDescent="0.3">
      <c r="A27" s="3">
        <v>2</v>
      </c>
      <c r="B27" s="3">
        <v>200</v>
      </c>
      <c r="C27" s="3">
        <v>4000</v>
      </c>
      <c r="D27" s="4">
        <v>0.1</v>
      </c>
      <c r="E27" s="3">
        <v>10</v>
      </c>
      <c r="F27" s="3">
        <v>0</v>
      </c>
      <c r="G27" s="4">
        <v>68.3</v>
      </c>
      <c r="H27" s="4">
        <v>14.61</v>
      </c>
      <c r="I27" s="4">
        <v>2</v>
      </c>
      <c r="J27" s="4">
        <f t="shared" si="6"/>
        <v>0.23100438307530011</v>
      </c>
      <c r="K27" s="5">
        <f t="shared" si="7"/>
        <v>9.4373054670211118</v>
      </c>
      <c r="L27" s="5">
        <f t="shared" si="8"/>
        <v>9.4086105901575099</v>
      </c>
      <c r="M27" s="5">
        <f t="shared" si="9"/>
        <v>9.4661911995385868</v>
      </c>
      <c r="N27" s="5">
        <f t="shared" si="10"/>
        <v>2.8694876863601948E-2</v>
      </c>
      <c r="O27" s="5">
        <f t="shared" si="11"/>
        <v>2.8885732517474949E-2</v>
      </c>
    </row>
    <row r="28" spans="1:15" ht="15.6" customHeight="1" x14ac:dyDescent="0.3">
      <c r="A28" s="3">
        <v>2</v>
      </c>
      <c r="B28" s="3">
        <v>200</v>
      </c>
      <c r="C28" s="3">
        <v>4000</v>
      </c>
      <c r="D28" s="4">
        <v>0.1</v>
      </c>
      <c r="E28" s="3">
        <v>10</v>
      </c>
      <c r="F28" s="4">
        <v>0</v>
      </c>
      <c r="G28" s="4">
        <v>67.66</v>
      </c>
      <c r="H28" s="4">
        <v>14.72</v>
      </c>
      <c r="I28" s="4">
        <v>3</v>
      </c>
      <c r="J28" s="4">
        <f t="shared" si="6"/>
        <v>0.23274363578839274</v>
      </c>
      <c r="K28" s="5">
        <f t="shared" si="7"/>
        <v>9.4781925693168194</v>
      </c>
      <c r="L28" s="5">
        <f t="shared" si="8"/>
        <v>9.4490098170201708</v>
      </c>
      <c r="M28" s="5">
        <f t="shared" si="9"/>
        <v>9.5075727447133964</v>
      </c>
      <c r="N28" s="5">
        <f t="shared" si="10"/>
        <v>2.9182752296648573E-2</v>
      </c>
      <c r="O28" s="5">
        <f t="shared" si="11"/>
        <v>2.9380175396577002E-2</v>
      </c>
    </row>
    <row r="29" spans="1:15" ht="15.6" customHeight="1" x14ac:dyDescent="0.3">
      <c r="A29" s="3">
        <v>2</v>
      </c>
      <c r="B29" s="3">
        <v>200</v>
      </c>
      <c r="C29" s="3">
        <v>4000</v>
      </c>
      <c r="D29" s="4">
        <v>0.1</v>
      </c>
      <c r="E29" s="3">
        <v>10</v>
      </c>
      <c r="F29" s="4">
        <v>0</v>
      </c>
      <c r="G29" s="4">
        <v>67.44</v>
      </c>
      <c r="H29" s="4">
        <v>14.65</v>
      </c>
      <c r="I29" s="4">
        <v>4</v>
      </c>
      <c r="J29" s="4">
        <f t="shared" si="6"/>
        <v>0.23163683860733381</v>
      </c>
      <c r="K29" s="5">
        <f t="shared" si="7"/>
        <v>9.4923368876695768</v>
      </c>
      <c r="L29" s="5">
        <f t="shared" si="8"/>
        <v>9.4631980186020233</v>
      </c>
      <c r="M29" s="5">
        <f t="shared" si="9"/>
        <v>9.5216725845334658</v>
      </c>
      <c r="N29" s="5">
        <f t="shared" si="10"/>
        <v>2.9138869067553586E-2</v>
      </c>
      <c r="O29" s="5">
        <f t="shared" si="11"/>
        <v>2.9335696863888927E-2</v>
      </c>
    </row>
    <row r="30" spans="1:15" ht="15.6" customHeight="1" x14ac:dyDescent="0.3">
      <c r="A30" s="3">
        <v>2</v>
      </c>
      <c r="B30" s="3">
        <v>200</v>
      </c>
      <c r="C30" s="3">
        <v>4000</v>
      </c>
      <c r="D30" s="4">
        <v>0.1</v>
      </c>
      <c r="E30" s="3">
        <v>10</v>
      </c>
      <c r="F30" s="4">
        <v>0</v>
      </c>
      <c r="G30" s="4">
        <v>67.48</v>
      </c>
      <c r="H30" s="4">
        <v>15.25</v>
      </c>
      <c r="I30" s="4">
        <v>5</v>
      </c>
      <c r="J30" s="4">
        <f t="shared" si="6"/>
        <v>0.24112367158783893</v>
      </c>
      <c r="K30" s="5">
        <f t="shared" si="7"/>
        <v>9.489761764665559</v>
      </c>
      <c r="L30" s="5">
        <f t="shared" si="8"/>
        <v>9.4594515672181281</v>
      </c>
      <c r="M30" s="5">
        <f t="shared" si="9"/>
        <v>9.520284990095103</v>
      </c>
      <c r="N30" s="5">
        <f t="shared" si="10"/>
        <v>3.0310197447430909E-2</v>
      </c>
      <c r="O30" s="5">
        <f t="shared" si="11"/>
        <v>3.0523225429543999E-2</v>
      </c>
    </row>
    <row r="31" spans="1:15" ht="15.6" customHeight="1" x14ac:dyDescent="0.3">
      <c r="A31" s="3">
        <v>2</v>
      </c>
      <c r="B31" s="3">
        <v>200</v>
      </c>
      <c r="C31" s="3">
        <v>4000</v>
      </c>
      <c r="D31" s="4">
        <v>0.1</v>
      </c>
      <c r="E31" s="3">
        <v>10</v>
      </c>
      <c r="F31" s="4">
        <v>0</v>
      </c>
      <c r="G31" s="4">
        <v>68.099999999999994</v>
      </c>
      <c r="H31" s="4">
        <v>14.63</v>
      </c>
      <c r="I31" s="4">
        <v>6</v>
      </c>
      <c r="J31" s="4">
        <f t="shared" si="6"/>
        <v>0.23132061084131697</v>
      </c>
      <c r="K31" s="5">
        <f t="shared" si="7"/>
        <v>9.4500413847085856</v>
      </c>
      <c r="L31" s="5">
        <f t="shared" si="8"/>
        <v>9.4212232479772435</v>
      </c>
      <c r="M31" s="5">
        <f t="shared" si="9"/>
        <v>9.4790520257760207</v>
      </c>
      <c r="N31" s="5">
        <f t="shared" si="10"/>
        <v>2.8818136731342037E-2</v>
      </c>
      <c r="O31" s="5">
        <f t="shared" si="11"/>
        <v>2.9010641067435117E-2</v>
      </c>
    </row>
    <row r="32" spans="1:15" ht="15.6" customHeight="1" x14ac:dyDescent="0.3">
      <c r="A32" s="3">
        <v>2</v>
      </c>
      <c r="B32" s="3">
        <v>200</v>
      </c>
      <c r="C32" s="3">
        <v>4000</v>
      </c>
      <c r="D32" s="4">
        <v>0.1</v>
      </c>
      <c r="E32" s="3">
        <v>10</v>
      </c>
      <c r="F32" s="4">
        <v>0</v>
      </c>
      <c r="G32" s="4">
        <v>69.09</v>
      </c>
      <c r="H32" s="4">
        <v>15.81</v>
      </c>
      <c r="I32" s="4">
        <v>7</v>
      </c>
      <c r="J32" s="4">
        <f t="shared" si="6"/>
        <v>0.24997804903631041</v>
      </c>
      <c r="K32" s="5">
        <f t="shared" si="7"/>
        <v>9.3873605769975015</v>
      </c>
      <c r="L32" s="5">
        <f t="shared" si="8"/>
        <v>9.3566709451250585</v>
      </c>
      <c r="M32" s="5">
        <f t="shared" si="9"/>
        <v>9.4182686230033728</v>
      </c>
      <c r="N32" s="5">
        <f t="shared" si="10"/>
        <v>3.0689631872443002E-2</v>
      </c>
      <c r="O32" s="5">
        <f t="shared" si="11"/>
        <v>3.090804600587127E-2</v>
      </c>
    </row>
    <row r="33" spans="1:15" ht="15.6" customHeight="1" x14ac:dyDescent="0.3">
      <c r="A33" s="3">
        <v>2</v>
      </c>
      <c r="B33" s="3">
        <v>200</v>
      </c>
      <c r="C33" s="3">
        <v>4000</v>
      </c>
      <c r="D33" s="4">
        <v>0.1</v>
      </c>
      <c r="E33" s="3">
        <v>10</v>
      </c>
      <c r="F33" s="4">
        <v>0</v>
      </c>
      <c r="G33" s="4">
        <v>70.59</v>
      </c>
      <c r="H33" s="4">
        <v>14.73</v>
      </c>
      <c r="I33" s="4">
        <v>8</v>
      </c>
      <c r="J33" s="4">
        <f t="shared" si="6"/>
        <v>0.23290174967140115</v>
      </c>
      <c r="K33" s="5">
        <f t="shared" si="7"/>
        <v>9.2940806848795994</v>
      </c>
      <c r="L33" s="5">
        <f t="shared" si="8"/>
        <v>9.2660863930605011</v>
      </c>
      <c r="M33" s="5">
        <f t="shared" si="9"/>
        <v>9.3222565971178248</v>
      </c>
      <c r="N33" s="5">
        <f t="shared" si="10"/>
        <v>2.7994291819098294E-2</v>
      </c>
      <c r="O33" s="5">
        <f t="shared" si="11"/>
        <v>2.8175912238225465E-2</v>
      </c>
    </row>
    <row r="34" spans="1:15" ht="15.6" customHeight="1" x14ac:dyDescent="0.3">
      <c r="A34" s="3">
        <v>2</v>
      </c>
      <c r="B34" s="3">
        <v>200</v>
      </c>
      <c r="C34" s="3">
        <v>4000</v>
      </c>
      <c r="D34" s="4">
        <v>0.1</v>
      </c>
      <c r="E34" s="3">
        <v>10</v>
      </c>
      <c r="F34" s="3">
        <v>0</v>
      </c>
      <c r="G34" s="4">
        <v>72.19</v>
      </c>
      <c r="H34" s="4">
        <v>15.22</v>
      </c>
      <c r="I34" s="4">
        <v>9</v>
      </c>
      <c r="J34" s="4">
        <f t="shared" si="6"/>
        <v>0.24064932993881369</v>
      </c>
      <c r="K34" s="5">
        <f t="shared" si="7"/>
        <v>9.1967420857030309</v>
      </c>
      <c r="L34" s="5">
        <f t="shared" si="8"/>
        <v>9.1684585919339607</v>
      </c>
      <c r="M34" s="5">
        <f t="shared" si="9"/>
        <v>9.2252109842638195</v>
      </c>
      <c r="N34" s="5">
        <f t="shared" si="10"/>
        <v>2.8283493769070134E-2</v>
      </c>
      <c r="O34" s="5">
        <f t="shared" si="11"/>
        <v>2.8468898560788602E-2</v>
      </c>
    </row>
    <row r="35" spans="1:15" ht="15.6" customHeight="1" x14ac:dyDescent="0.3">
      <c r="A35" s="3">
        <v>2</v>
      </c>
      <c r="B35" s="3">
        <v>200</v>
      </c>
      <c r="C35" s="3">
        <v>4000</v>
      </c>
      <c r="D35" s="4">
        <v>0.1</v>
      </c>
      <c r="E35" s="3">
        <v>10</v>
      </c>
      <c r="F35" s="4">
        <v>0</v>
      </c>
      <c r="G35" s="4">
        <v>74.11</v>
      </c>
      <c r="H35" s="4">
        <v>15.51</v>
      </c>
      <c r="I35" s="4">
        <v>10</v>
      </c>
      <c r="J35" s="4">
        <f t="shared" si="6"/>
        <v>0.24523463254605782</v>
      </c>
      <c r="K35" s="5">
        <f t="shared" si="7"/>
        <v>9.0827443711687703</v>
      </c>
      <c r="L35" s="5">
        <f t="shared" si="8"/>
        <v>9.0546680114988014</v>
      </c>
      <c r="M35" s="5">
        <f t="shared" si="9"/>
        <v>9.1110034211712581</v>
      </c>
      <c r="N35" s="5">
        <f t="shared" si="10"/>
        <v>2.8076359669968909E-2</v>
      </c>
      <c r="O35" s="5">
        <f t="shared" si="11"/>
        <v>2.825905000248774E-2</v>
      </c>
    </row>
    <row r="36" spans="1:15" ht="15.6" customHeight="1" x14ac:dyDescent="0.3">
      <c r="A36" s="3"/>
      <c r="B36" s="3"/>
      <c r="C36" s="3"/>
      <c r="D36" s="4"/>
      <c r="E36" s="3"/>
      <c r="F36" s="3"/>
      <c r="G36" s="4"/>
      <c r="H36" s="4"/>
      <c r="I36" s="4"/>
      <c r="J36" s="4" t="e">
        <f t="shared" si="6"/>
        <v>#DIV/0!</v>
      </c>
      <c r="K36" s="5" t="e">
        <f t="shared" si="7"/>
        <v>#DIV/0!</v>
      </c>
      <c r="L36" s="5" t="e">
        <f t="shared" si="8"/>
        <v>#DIV/0!</v>
      </c>
      <c r="M36" s="5" t="e">
        <f t="shared" si="9"/>
        <v>#DIV/0!</v>
      </c>
      <c r="N36" s="5" t="e">
        <f t="shared" si="10"/>
        <v>#DIV/0!</v>
      </c>
      <c r="O36" s="5" t="e">
        <f t="shared" si="11"/>
        <v>#DIV/0!</v>
      </c>
    </row>
    <row r="37" spans="1:15" ht="15.6" customHeight="1" x14ac:dyDescent="0.3">
      <c r="A37" s="3"/>
      <c r="B37" s="3"/>
      <c r="C37" s="3"/>
      <c r="D37" s="4"/>
      <c r="E37" s="3"/>
      <c r="F37" s="4"/>
      <c r="G37" s="4"/>
      <c r="H37" s="4"/>
      <c r="I37" s="4"/>
      <c r="J37" s="4" t="e">
        <f t="shared" si="6"/>
        <v>#DIV/0!</v>
      </c>
      <c r="K37" s="5" t="e">
        <f t="shared" si="7"/>
        <v>#DIV/0!</v>
      </c>
      <c r="L37" s="5" t="e">
        <f t="shared" si="8"/>
        <v>#DIV/0!</v>
      </c>
      <c r="M37" s="5" t="e">
        <f t="shared" si="9"/>
        <v>#DIV/0!</v>
      </c>
      <c r="N37" s="5" t="e">
        <f t="shared" si="10"/>
        <v>#DIV/0!</v>
      </c>
      <c r="O37" s="5" t="e">
        <f t="shared" si="11"/>
        <v>#DIV/0!</v>
      </c>
    </row>
    <row r="38" spans="1:15" ht="15.6" customHeight="1" x14ac:dyDescent="0.3">
      <c r="A38" s="3"/>
      <c r="B38" s="3"/>
      <c r="C38" s="3"/>
      <c r="D38" s="4"/>
      <c r="E38" s="3"/>
      <c r="F38" s="4"/>
      <c r="G38" s="4"/>
      <c r="H38" s="4"/>
      <c r="I38" s="4"/>
      <c r="J38" s="4" t="e">
        <f t="shared" si="6"/>
        <v>#DIV/0!</v>
      </c>
      <c r="K38" s="5" t="e">
        <f t="shared" si="7"/>
        <v>#DIV/0!</v>
      </c>
      <c r="L38" s="5" t="e">
        <f t="shared" si="8"/>
        <v>#DIV/0!</v>
      </c>
      <c r="M38" s="5" t="e">
        <f t="shared" si="9"/>
        <v>#DIV/0!</v>
      </c>
      <c r="N38" s="5" t="e">
        <f t="shared" si="10"/>
        <v>#DIV/0!</v>
      </c>
      <c r="O38" s="5" t="e">
        <f t="shared" si="11"/>
        <v>#DIV/0!</v>
      </c>
    </row>
    <row r="39" spans="1:15" ht="15.6" customHeight="1" x14ac:dyDescent="0.3">
      <c r="A39" s="3"/>
      <c r="B39" s="3"/>
      <c r="C39" s="3"/>
      <c r="D39" s="4"/>
      <c r="E39" s="3"/>
      <c r="F39" s="4"/>
      <c r="G39" s="4"/>
      <c r="H39" s="4"/>
      <c r="I39" s="4"/>
      <c r="J39" s="4" t="e">
        <f t="shared" si="6"/>
        <v>#DIV/0!</v>
      </c>
      <c r="K39" s="5" t="e">
        <f t="shared" si="7"/>
        <v>#DIV/0!</v>
      </c>
      <c r="L39" s="5" t="e">
        <f t="shared" si="8"/>
        <v>#DIV/0!</v>
      </c>
      <c r="M39" s="5" t="e">
        <f t="shared" si="9"/>
        <v>#DIV/0!</v>
      </c>
      <c r="N39" s="5" t="e">
        <f t="shared" si="10"/>
        <v>#DIV/0!</v>
      </c>
      <c r="O39" s="5" t="e">
        <f t="shared" si="11"/>
        <v>#DIV/0!</v>
      </c>
    </row>
    <row r="40" spans="1:15" ht="15.6" customHeight="1" x14ac:dyDescent="0.3">
      <c r="A40" s="3"/>
      <c r="B40" s="3"/>
      <c r="C40" s="3"/>
      <c r="D40" s="4"/>
      <c r="E40" s="3"/>
      <c r="F40" s="4"/>
      <c r="G40" s="4"/>
      <c r="H40" s="4"/>
      <c r="I40" s="4"/>
      <c r="J40" s="4" t="e">
        <f t="shared" si="6"/>
        <v>#DIV/0!</v>
      </c>
      <c r="K40" s="5" t="e">
        <f t="shared" si="7"/>
        <v>#DIV/0!</v>
      </c>
      <c r="L40" s="5" t="e">
        <f t="shared" si="8"/>
        <v>#DIV/0!</v>
      </c>
      <c r="M40" s="5" t="e">
        <f t="shared" si="9"/>
        <v>#DIV/0!</v>
      </c>
      <c r="N40" s="5" t="e">
        <f t="shared" si="10"/>
        <v>#DIV/0!</v>
      </c>
      <c r="O40" s="5" t="e">
        <f t="shared" si="11"/>
        <v>#DIV/0!</v>
      </c>
    </row>
    <row r="41" spans="1:15" ht="15.6" customHeight="1" x14ac:dyDescent="0.3">
      <c r="A41" s="3"/>
      <c r="B41" s="3"/>
      <c r="C41" s="3"/>
      <c r="D41" s="4"/>
      <c r="E41" s="3"/>
      <c r="F41" s="4"/>
      <c r="G41" s="4"/>
      <c r="H41" s="4"/>
      <c r="I41" s="4"/>
      <c r="J41" s="4" t="e">
        <f t="shared" si="6"/>
        <v>#DIV/0!</v>
      </c>
      <c r="K41" s="5" t="e">
        <f t="shared" si="7"/>
        <v>#DIV/0!</v>
      </c>
      <c r="L41" s="5" t="e">
        <f t="shared" si="8"/>
        <v>#DIV/0!</v>
      </c>
      <c r="M41" s="5" t="e">
        <f t="shared" si="9"/>
        <v>#DIV/0!</v>
      </c>
      <c r="N41" s="5" t="e">
        <f t="shared" si="10"/>
        <v>#DIV/0!</v>
      </c>
      <c r="O41" s="5" t="e">
        <f t="shared" si="11"/>
        <v>#DIV/0!</v>
      </c>
    </row>
    <row r="42" spans="1:15" ht="15.6" customHeight="1" x14ac:dyDescent="0.3">
      <c r="A42" s="3"/>
      <c r="B42" s="3"/>
      <c r="C42" s="3"/>
      <c r="D42" s="4"/>
      <c r="E42" s="3"/>
      <c r="F42" s="4"/>
      <c r="G42" s="4"/>
      <c r="H42" s="4"/>
      <c r="I42" s="4"/>
      <c r="J42" s="4" t="e">
        <f t="shared" si="6"/>
        <v>#DIV/0!</v>
      </c>
      <c r="K42" s="5" t="e">
        <f t="shared" si="7"/>
        <v>#DIV/0!</v>
      </c>
      <c r="L42" s="5" t="e">
        <f t="shared" si="8"/>
        <v>#DIV/0!</v>
      </c>
      <c r="M42" s="5" t="e">
        <f t="shared" si="9"/>
        <v>#DIV/0!</v>
      </c>
      <c r="N42" s="5" t="e">
        <f t="shared" si="10"/>
        <v>#DIV/0!</v>
      </c>
      <c r="O42" s="5" t="e">
        <f t="shared" si="11"/>
        <v>#DIV/0!</v>
      </c>
    </row>
    <row r="43" spans="1:15" ht="15.6" customHeight="1" x14ac:dyDescent="0.3">
      <c r="A43" s="3"/>
      <c r="B43" s="3"/>
      <c r="C43" s="3"/>
      <c r="D43" s="4"/>
      <c r="E43" s="3"/>
      <c r="F43" s="4"/>
      <c r="G43" s="4"/>
      <c r="H43" s="4"/>
      <c r="I43" s="4"/>
      <c r="J43" s="4" t="e">
        <f t="shared" si="6"/>
        <v>#DIV/0!</v>
      </c>
      <c r="K43" s="5" t="e">
        <f t="shared" si="7"/>
        <v>#DIV/0!</v>
      </c>
      <c r="L43" s="5" t="e">
        <f t="shared" si="8"/>
        <v>#DIV/0!</v>
      </c>
      <c r="M43" s="5" t="e">
        <f t="shared" si="9"/>
        <v>#DIV/0!</v>
      </c>
      <c r="N43" s="5" t="e">
        <f t="shared" si="10"/>
        <v>#DIV/0!</v>
      </c>
      <c r="O43" s="5" t="e">
        <f t="shared" si="11"/>
        <v>#DIV/0!</v>
      </c>
    </row>
    <row r="44" spans="1:15" ht="15.6" customHeight="1" x14ac:dyDescent="0.3">
      <c r="A44" s="3"/>
      <c r="B44" s="3"/>
      <c r="C44" s="3"/>
      <c r="D44" s="4"/>
      <c r="E44" s="3"/>
      <c r="F44" s="4"/>
      <c r="G44" s="4"/>
      <c r="H44" s="4"/>
      <c r="I44" s="4"/>
      <c r="J44" s="4" t="e">
        <f t="shared" si="6"/>
        <v>#DIV/0!</v>
      </c>
      <c r="K44" s="5" t="e">
        <f t="shared" si="7"/>
        <v>#DIV/0!</v>
      </c>
      <c r="L44" s="5" t="e">
        <f t="shared" si="8"/>
        <v>#DIV/0!</v>
      </c>
      <c r="M44" s="5" t="e">
        <f t="shared" si="9"/>
        <v>#DIV/0!</v>
      </c>
      <c r="N44" s="5" t="e">
        <f t="shared" si="10"/>
        <v>#DIV/0!</v>
      </c>
      <c r="O44" s="5" t="e">
        <f t="shared" si="11"/>
        <v>#DIV/0!</v>
      </c>
    </row>
    <row r="45" spans="1:15" ht="15.6" customHeight="1" x14ac:dyDescent="0.3">
      <c r="A45" s="3"/>
      <c r="B45" s="3"/>
      <c r="C45" s="3"/>
      <c r="D45" s="4"/>
      <c r="E45" s="3"/>
      <c r="F45" s="4"/>
      <c r="G45" s="4"/>
      <c r="H45" s="4"/>
      <c r="I45" s="4"/>
      <c r="J45" s="4" t="e">
        <f t="shared" si="6"/>
        <v>#DIV/0!</v>
      </c>
      <c r="K45" s="5" t="e">
        <f t="shared" si="7"/>
        <v>#DIV/0!</v>
      </c>
      <c r="L45" s="5" t="e">
        <f t="shared" si="8"/>
        <v>#DIV/0!</v>
      </c>
      <c r="M45" s="5" t="e">
        <f t="shared" si="9"/>
        <v>#DIV/0!</v>
      </c>
      <c r="N45" s="5" t="e">
        <f t="shared" si="10"/>
        <v>#DIV/0!</v>
      </c>
      <c r="O45" s="5" t="e">
        <f t="shared" si="11"/>
        <v>#DIV/0!</v>
      </c>
    </row>
    <row r="46" spans="1:15" ht="15.6" customHeight="1" x14ac:dyDescent="0.3">
      <c r="A46" s="13" t="s">
        <v>16</v>
      </c>
      <c r="B46" s="7"/>
      <c r="C46" s="7"/>
      <c r="D46" s="8"/>
      <c r="E46" s="7"/>
      <c r="F46" s="8"/>
      <c r="G46" s="8"/>
      <c r="H46" s="8"/>
      <c r="I46" s="8"/>
      <c r="J46" s="9"/>
      <c r="K46" s="10"/>
      <c r="L46" s="10"/>
      <c r="M46" s="10"/>
      <c r="N46" s="10"/>
      <c r="O46" s="10"/>
    </row>
    <row r="47" spans="1:15" ht="15.6" customHeight="1" x14ac:dyDescent="0.3">
      <c r="A47" s="1">
        <v>3</v>
      </c>
      <c r="B47" s="1">
        <v>200</v>
      </c>
      <c r="C47" s="1">
        <v>4000</v>
      </c>
      <c r="D47" s="2">
        <v>0.1</v>
      </c>
      <c r="E47" s="1">
        <v>10</v>
      </c>
      <c r="F47" s="2">
        <v>0</v>
      </c>
      <c r="G47" s="2">
        <v>89.28</v>
      </c>
      <c r="H47" s="2">
        <v>17.559999999999999</v>
      </c>
      <c r="I47" s="2">
        <v>0</v>
      </c>
      <c r="J47" s="4">
        <f t="shared" ref="J47:J67" si="12">H47/SQRT(C47)</f>
        <v>0.27764797856278367</v>
      </c>
      <c r="K47" s="5">
        <f t="shared" ref="K47:K67" si="13">-10*LOG10(G47/(B47*3))</f>
        <v>8.2739706879014001</v>
      </c>
      <c r="L47" s="5">
        <f t="shared" ref="L47:L67" si="14">-10*LOG10((G47+1.96*J47)/(B47*3))</f>
        <v>8.247579406062659</v>
      </c>
      <c r="M47" s="5">
        <f t="shared" ref="M47:M67" si="15">-10*LOG10((G47-1.96*J47)/(B47*3))</f>
        <v>8.300523325766596</v>
      </c>
      <c r="N47" s="5">
        <f t="shared" ref="N47:N67" si="16">K47-L47</f>
        <v>2.6391281838741065E-2</v>
      </c>
      <c r="O47" s="5">
        <f t="shared" ref="O47:O67" si="17">M47-K47</f>
        <v>2.6552637865195905E-2</v>
      </c>
    </row>
    <row r="48" spans="1:15" ht="15.6" customHeight="1" x14ac:dyDescent="0.3">
      <c r="A48" s="1">
        <v>3</v>
      </c>
      <c r="B48" s="1">
        <v>200</v>
      </c>
      <c r="C48" s="1">
        <v>4000</v>
      </c>
      <c r="D48" s="2">
        <v>0.1</v>
      </c>
      <c r="E48" s="1">
        <v>10</v>
      </c>
      <c r="F48" s="2">
        <v>0</v>
      </c>
      <c r="G48" s="2">
        <v>88.46</v>
      </c>
      <c r="H48" s="2">
        <v>17.68</v>
      </c>
      <c r="I48" s="2">
        <v>1</v>
      </c>
      <c r="J48" s="4">
        <f t="shared" si="12"/>
        <v>0.27954534515888474</v>
      </c>
      <c r="K48" s="5">
        <f t="shared" si="13"/>
        <v>8.3140431535005863</v>
      </c>
      <c r="L48" s="5">
        <f t="shared" si="14"/>
        <v>8.2872265240365035</v>
      </c>
      <c r="M48" s="5">
        <f t="shared" si="15"/>
        <v>8.341026398481544</v>
      </c>
      <c r="N48" s="5">
        <f t="shared" si="16"/>
        <v>2.6816629464082808E-2</v>
      </c>
      <c r="O48" s="5">
        <f t="shared" si="17"/>
        <v>2.6983244980957721E-2</v>
      </c>
    </row>
    <row r="49" spans="1:15" ht="15.6" customHeight="1" x14ac:dyDescent="0.3">
      <c r="A49" s="1">
        <v>3</v>
      </c>
      <c r="B49" s="1">
        <v>200</v>
      </c>
      <c r="C49" s="1">
        <v>4000</v>
      </c>
      <c r="D49" s="2">
        <v>0.1</v>
      </c>
      <c r="E49" s="1">
        <v>10</v>
      </c>
      <c r="F49" s="2">
        <v>0</v>
      </c>
      <c r="G49" s="2">
        <v>87.49</v>
      </c>
      <c r="H49" s="2">
        <v>18</v>
      </c>
      <c r="I49" s="2">
        <v>2</v>
      </c>
      <c r="J49" s="4">
        <f t="shared" si="12"/>
        <v>0.28460498941515416</v>
      </c>
      <c r="K49" s="5">
        <f t="shared" si="13"/>
        <v>8.3619283385283012</v>
      </c>
      <c r="L49" s="5">
        <f t="shared" si="14"/>
        <v>8.3343261425673596</v>
      </c>
      <c r="M49" s="5">
        <f t="shared" si="15"/>
        <v>8.3897070868249326</v>
      </c>
      <c r="N49" s="5">
        <f t="shared" si="16"/>
        <v>2.76021959609416E-2</v>
      </c>
      <c r="O49" s="5">
        <f t="shared" si="17"/>
        <v>2.7778748296631406E-2</v>
      </c>
    </row>
    <row r="50" spans="1:15" ht="15.6" customHeight="1" x14ac:dyDescent="0.3">
      <c r="A50" s="1">
        <v>3</v>
      </c>
      <c r="B50" s="1">
        <v>200</v>
      </c>
      <c r="C50" s="1">
        <v>4000</v>
      </c>
      <c r="D50" s="2">
        <v>0.1</v>
      </c>
      <c r="E50" s="1">
        <v>10</v>
      </c>
      <c r="F50" s="2">
        <v>0</v>
      </c>
      <c r="G50" s="2">
        <v>86.85</v>
      </c>
      <c r="H50" s="2">
        <v>17.920000000000002</v>
      </c>
      <c r="I50" s="2">
        <v>3</v>
      </c>
      <c r="J50" s="4">
        <f t="shared" si="12"/>
        <v>0.28334007835108682</v>
      </c>
      <c r="K50" s="5">
        <f t="shared" si="13"/>
        <v>8.3938142760052621</v>
      </c>
      <c r="L50" s="5">
        <f t="shared" si="14"/>
        <v>8.3661325129966286</v>
      </c>
      <c r="M50" s="5">
        <f t="shared" si="15"/>
        <v>8.4216736139661155</v>
      </c>
      <c r="N50" s="5">
        <f t="shared" si="16"/>
        <v>2.7681763008633453E-2</v>
      </c>
      <c r="O50" s="5">
        <f t="shared" si="17"/>
        <v>2.7859337960853381E-2</v>
      </c>
    </row>
    <row r="51" spans="1:15" ht="15.6" customHeight="1" x14ac:dyDescent="0.3">
      <c r="A51" s="1">
        <v>3</v>
      </c>
      <c r="B51" s="1">
        <v>200</v>
      </c>
      <c r="C51" s="1">
        <v>4000</v>
      </c>
      <c r="D51" s="2">
        <v>0.1</v>
      </c>
      <c r="E51" s="1">
        <v>10</v>
      </c>
      <c r="F51" s="2">
        <v>0</v>
      </c>
      <c r="G51" s="2">
        <v>87.23</v>
      </c>
      <c r="H51" s="2">
        <v>17.87</v>
      </c>
      <c r="I51" s="2">
        <v>4</v>
      </c>
      <c r="J51" s="4">
        <f t="shared" si="12"/>
        <v>0.28254950893604469</v>
      </c>
      <c r="K51" s="5">
        <f t="shared" si="13"/>
        <v>8.3748537790781477</v>
      </c>
      <c r="L51" s="5">
        <f t="shared" si="14"/>
        <v>8.3473688831105619</v>
      </c>
      <c r="M51" s="5">
        <f t="shared" si="15"/>
        <v>8.402513725231195</v>
      </c>
      <c r="N51" s="5">
        <f t="shared" si="16"/>
        <v>2.7484895967585743E-2</v>
      </c>
      <c r="O51" s="5">
        <f t="shared" si="17"/>
        <v>2.7659946153047343E-2</v>
      </c>
    </row>
    <row r="52" spans="1:15" ht="15.6" customHeight="1" x14ac:dyDescent="0.3">
      <c r="A52" s="1">
        <v>3</v>
      </c>
      <c r="B52" s="1">
        <v>200</v>
      </c>
      <c r="C52" s="1">
        <v>4000</v>
      </c>
      <c r="D52" s="2">
        <v>0.1</v>
      </c>
      <c r="E52" s="1">
        <v>10</v>
      </c>
      <c r="F52" s="2">
        <v>0</v>
      </c>
      <c r="G52" s="2">
        <v>86.75</v>
      </c>
      <c r="H52" s="2">
        <v>18.18</v>
      </c>
      <c r="I52" s="2">
        <v>5</v>
      </c>
      <c r="J52" s="4">
        <f t="shared" si="12"/>
        <v>0.28745103930930566</v>
      </c>
      <c r="K52" s="5">
        <f t="shared" si="13"/>
        <v>8.3988176692073218</v>
      </c>
      <c r="L52" s="5">
        <f t="shared" si="14"/>
        <v>8.3707033024658291</v>
      </c>
      <c r="M52" s="5">
        <f t="shared" si="15"/>
        <v>8.4271152228486166</v>
      </c>
      <c r="N52" s="5">
        <f t="shared" si="16"/>
        <v>2.8114366741492702E-2</v>
      </c>
      <c r="O52" s="5">
        <f t="shared" si="17"/>
        <v>2.8297553641294826E-2</v>
      </c>
    </row>
    <row r="53" spans="1:15" ht="15.6" customHeight="1" x14ac:dyDescent="0.3">
      <c r="A53" s="1">
        <v>3</v>
      </c>
      <c r="B53" s="1">
        <v>200</v>
      </c>
      <c r="C53" s="1">
        <v>4000</v>
      </c>
      <c r="D53" s="2">
        <v>0.1</v>
      </c>
      <c r="E53" s="1">
        <v>10</v>
      </c>
      <c r="F53" s="2">
        <v>0</v>
      </c>
      <c r="G53" s="2">
        <v>87.21</v>
      </c>
      <c r="H53" s="2">
        <v>17.77</v>
      </c>
      <c r="I53" s="2">
        <v>6</v>
      </c>
      <c r="J53" s="4">
        <f t="shared" si="12"/>
        <v>0.28096837010596049</v>
      </c>
      <c r="K53" s="5">
        <f t="shared" si="13"/>
        <v>8.3758496389355344</v>
      </c>
      <c r="L53" s="5">
        <f t="shared" si="14"/>
        <v>8.3485118163864591</v>
      </c>
      <c r="M53" s="5">
        <f t="shared" si="15"/>
        <v>8.4033606373649619</v>
      </c>
      <c r="N53" s="5">
        <f t="shared" si="16"/>
        <v>2.7337822549075241E-2</v>
      </c>
      <c r="O53" s="5">
        <f t="shared" si="17"/>
        <v>2.7510998429427502E-2</v>
      </c>
    </row>
    <row r="54" spans="1:15" ht="15.6" customHeight="1" x14ac:dyDescent="0.3">
      <c r="A54" s="1">
        <v>3</v>
      </c>
      <c r="B54" s="1">
        <v>200</v>
      </c>
      <c r="C54" s="1">
        <v>4000</v>
      </c>
      <c r="D54" s="2">
        <v>0.1</v>
      </c>
      <c r="E54" s="1">
        <v>10</v>
      </c>
      <c r="F54" s="2">
        <v>0</v>
      </c>
      <c r="G54" s="2">
        <v>88.21</v>
      </c>
      <c r="H54" s="2">
        <v>17.649999999999999</v>
      </c>
      <c r="I54" s="2">
        <v>7</v>
      </c>
      <c r="J54" s="4">
        <f t="shared" si="12"/>
        <v>0.27907100350985947</v>
      </c>
      <c r="K54" s="5">
        <f t="shared" si="13"/>
        <v>8.3263342830580402</v>
      </c>
      <c r="L54" s="5">
        <f t="shared" si="14"/>
        <v>8.2994873773264679</v>
      </c>
      <c r="M54" s="5">
        <f t="shared" si="15"/>
        <v>8.3533481819129669</v>
      </c>
      <c r="N54" s="5">
        <f t="shared" si="16"/>
        <v>2.6846905731572335E-2</v>
      </c>
      <c r="O54" s="5">
        <f t="shared" si="17"/>
        <v>2.7013898854926666E-2</v>
      </c>
    </row>
    <row r="55" spans="1:15" ht="15.6" customHeight="1" x14ac:dyDescent="0.3">
      <c r="A55" s="1">
        <v>3</v>
      </c>
      <c r="B55" s="1">
        <v>200</v>
      </c>
      <c r="C55" s="1">
        <v>4000</v>
      </c>
      <c r="D55" s="2">
        <v>0.1</v>
      </c>
      <c r="E55" s="1">
        <v>10</v>
      </c>
      <c r="F55" s="2">
        <v>0</v>
      </c>
      <c r="G55" s="2">
        <v>89.78</v>
      </c>
      <c r="H55" s="2">
        <v>17.43</v>
      </c>
      <c r="I55" s="2">
        <v>8</v>
      </c>
      <c r="J55" s="4">
        <f t="shared" si="12"/>
        <v>0.27559249808367425</v>
      </c>
      <c r="K55" s="5">
        <f t="shared" si="13"/>
        <v>8.2497164931800953</v>
      </c>
      <c r="L55" s="5">
        <f t="shared" si="14"/>
        <v>8.2236654589093305</v>
      </c>
      <c r="M55" s="5">
        <f t="shared" si="15"/>
        <v>8.2759247373522342</v>
      </c>
      <c r="N55" s="5">
        <f t="shared" si="16"/>
        <v>2.6051034270764717E-2</v>
      </c>
      <c r="O55" s="5">
        <f t="shared" si="17"/>
        <v>2.6208244172138961E-2</v>
      </c>
    </row>
    <row r="56" spans="1:15" ht="15.6" customHeight="1" x14ac:dyDescent="0.3">
      <c r="A56" s="1">
        <v>3</v>
      </c>
      <c r="B56" s="1">
        <v>200</v>
      </c>
      <c r="C56" s="1">
        <v>4000</v>
      </c>
      <c r="D56" s="2">
        <v>0.1</v>
      </c>
      <c r="E56" s="1">
        <v>10</v>
      </c>
      <c r="F56" s="2">
        <v>0</v>
      </c>
      <c r="G56" s="2">
        <v>91.21</v>
      </c>
      <c r="H56" s="2">
        <v>17.75</v>
      </c>
      <c r="I56" s="2">
        <v>9</v>
      </c>
      <c r="J56" s="4">
        <f t="shared" si="12"/>
        <v>0.28065214233994368</v>
      </c>
      <c r="K56" s="5">
        <f t="shared" si="13"/>
        <v>8.1810879465680202</v>
      </c>
      <c r="L56" s="5">
        <f t="shared" si="14"/>
        <v>8.1549747537955888</v>
      </c>
      <c r="M56" s="5">
        <f t="shared" si="15"/>
        <v>8.2073591026281552</v>
      </c>
      <c r="N56" s="5">
        <f t="shared" si="16"/>
        <v>2.6113192772431404E-2</v>
      </c>
      <c r="O56" s="5">
        <f t="shared" si="17"/>
        <v>2.627115606013497E-2</v>
      </c>
    </row>
    <row r="57" spans="1:15" ht="15.6" customHeight="1" x14ac:dyDescent="0.3">
      <c r="A57" s="1">
        <v>3</v>
      </c>
      <c r="B57" s="1">
        <v>200</v>
      </c>
      <c r="C57" s="1">
        <v>4000</v>
      </c>
      <c r="D57" s="2">
        <v>0.1</v>
      </c>
      <c r="E57" s="1">
        <v>10</v>
      </c>
      <c r="F57" s="2">
        <v>0</v>
      </c>
      <c r="G57" s="2">
        <v>93.34</v>
      </c>
      <c r="H57" s="2">
        <v>17.940000000000001</v>
      </c>
      <c r="I57" s="2">
        <v>10</v>
      </c>
      <c r="J57" s="4">
        <f t="shared" si="12"/>
        <v>0.28365630611710363</v>
      </c>
      <c r="K57" s="5">
        <f t="shared" si="13"/>
        <v>8.0808345383450657</v>
      </c>
      <c r="L57" s="5">
        <f t="shared" si="14"/>
        <v>8.0550431440321084</v>
      </c>
      <c r="M57" s="5">
        <f t="shared" si="15"/>
        <v>8.1067800152058513</v>
      </c>
      <c r="N57" s="5">
        <f t="shared" si="16"/>
        <v>2.5791394312957294E-2</v>
      </c>
      <c r="O57" s="5">
        <f t="shared" si="17"/>
        <v>2.5945476860785632E-2</v>
      </c>
    </row>
    <row r="58" spans="1:15" ht="15.6" customHeight="1" x14ac:dyDescent="0.3">
      <c r="J58" s="4" t="e">
        <f t="shared" si="12"/>
        <v>#DIV/0!</v>
      </c>
      <c r="K58" s="5" t="e">
        <f t="shared" si="13"/>
        <v>#DIV/0!</v>
      </c>
      <c r="L58" s="5" t="e">
        <f t="shared" si="14"/>
        <v>#DIV/0!</v>
      </c>
      <c r="M58" s="5" t="e">
        <f t="shared" si="15"/>
        <v>#DIV/0!</v>
      </c>
      <c r="N58" s="5" t="e">
        <f t="shared" si="16"/>
        <v>#DIV/0!</v>
      </c>
      <c r="O58" s="5" t="e">
        <f t="shared" si="17"/>
        <v>#DIV/0!</v>
      </c>
    </row>
    <row r="59" spans="1:15" ht="15.6" customHeight="1" x14ac:dyDescent="0.3">
      <c r="J59" s="4" t="e">
        <f t="shared" si="12"/>
        <v>#DIV/0!</v>
      </c>
      <c r="K59" s="5" t="e">
        <f t="shared" si="13"/>
        <v>#DIV/0!</v>
      </c>
      <c r="L59" s="5" t="e">
        <f t="shared" si="14"/>
        <v>#DIV/0!</v>
      </c>
      <c r="M59" s="5" t="e">
        <f t="shared" si="15"/>
        <v>#DIV/0!</v>
      </c>
      <c r="N59" s="5" t="e">
        <f t="shared" si="16"/>
        <v>#DIV/0!</v>
      </c>
      <c r="O59" s="5" t="e">
        <f t="shared" si="17"/>
        <v>#DIV/0!</v>
      </c>
    </row>
    <row r="60" spans="1:15" ht="15.6" customHeight="1" x14ac:dyDescent="0.3">
      <c r="J60" s="4" t="e">
        <f t="shared" si="12"/>
        <v>#DIV/0!</v>
      </c>
      <c r="K60" s="5" t="e">
        <f t="shared" si="13"/>
        <v>#DIV/0!</v>
      </c>
      <c r="L60" s="5" t="e">
        <f t="shared" si="14"/>
        <v>#DIV/0!</v>
      </c>
      <c r="M60" s="5" t="e">
        <f t="shared" si="15"/>
        <v>#DIV/0!</v>
      </c>
      <c r="N60" s="5" t="e">
        <f t="shared" si="16"/>
        <v>#DIV/0!</v>
      </c>
      <c r="O60" s="5" t="e">
        <f t="shared" si="17"/>
        <v>#DIV/0!</v>
      </c>
    </row>
    <row r="61" spans="1:15" ht="15.6" customHeight="1" x14ac:dyDescent="0.3">
      <c r="J61" s="4" t="e">
        <f t="shared" si="12"/>
        <v>#DIV/0!</v>
      </c>
      <c r="K61" s="5" t="e">
        <f t="shared" si="13"/>
        <v>#DIV/0!</v>
      </c>
      <c r="L61" s="5" t="e">
        <f t="shared" si="14"/>
        <v>#DIV/0!</v>
      </c>
      <c r="M61" s="5" t="e">
        <f t="shared" si="15"/>
        <v>#DIV/0!</v>
      </c>
      <c r="N61" s="5" t="e">
        <f t="shared" si="16"/>
        <v>#DIV/0!</v>
      </c>
      <c r="O61" s="5" t="e">
        <f t="shared" si="17"/>
        <v>#DIV/0!</v>
      </c>
    </row>
    <row r="62" spans="1:15" ht="15.6" customHeight="1" x14ac:dyDescent="0.3">
      <c r="J62" s="4" t="e">
        <f t="shared" si="12"/>
        <v>#DIV/0!</v>
      </c>
      <c r="K62" s="5" t="e">
        <f t="shared" si="13"/>
        <v>#DIV/0!</v>
      </c>
      <c r="L62" s="5" t="e">
        <f t="shared" si="14"/>
        <v>#DIV/0!</v>
      </c>
      <c r="M62" s="5" t="e">
        <f t="shared" si="15"/>
        <v>#DIV/0!</v>
      </c>
      <c r="N62" s="5" t="e">
        <f t="shared" si="16"/>
        <v>#DIV/0!</v>
      </c>
      <c r="O62" s="5" t="e">
        <f t="shared" si="17"/>
        <v>#DIV/0!</v>
      </c>
    </row>
    <row r="63" spans="1:15" ht="15.6" customHeight="1" x14ac:dyDescent="0.3">
      <c r="J63" s="4" t="e">
        <f t="shared" si="12"/>
        <v>#DIV/0!</v>
      </c>
      <c r="K63" s="5" t="e">
        <f t="shared" si="13"/>
        <v>#DIV/0!</v>
      </c>
      <c r="L63" s="5" t="e">
        <f t="shared" si="14"/>
        <v>#DIV/0!</v>
      </c>
      <c r="M63" s="5" t="e">
        <f t="shared" si="15"/>
        <v>#DIV/0!</v>
      </c>
      <c r="N63" s="5" t="e">
        <f t="shared" si="16"/>
        <v>#DIV/0!</v>
      </c>
      <c r="O63" s="5" t="e">
        <f t="shared" si="17"/>
        <v>#DIV/0!</v>
      </c>
    </row>
    <row r="64" spans="1:15" ht="15.6" customHeight="1" x14ac:dyDescent="0.3">
      <c r="J64" s="4" t="e">
        <f t="shared" si="12"/>
        <v>#DIV/0!</v>
      </c>
      <c r="K64" s="5" t="e">
        <f t="shared" si="13"/>
        <v>#DIV/0!</v>
      </c>
      <c r="L64" s="5" t="e">
        <f t="shared" si="14"/>
        <v>#DIV/0!</v>
      </c>
      <c r="M64" s="5" t="e">
        <f t="shared" si="15"/>
        <v>#DIV/0!</v>
      </c>
      <c r="N64" s="5" t="e">
        <f t="shared" si="16"/>
        <v>#DIV/0!</v>
      </c>
      <c r="O64" s="5" t="e">
        <f t="shared" si="17"/>
        <v>#DIV/0!</v>
      </c>
    </row>
    <row r="65" spans="1:15" ht="15.6" customHeight="1" x14ac:dyDescent="0.3">
      <c r="J65" s="4" t="e">
        <f t="shared" si="12"/>
        <v>#DIV/0!</v>
      </c>
      <c r="K65" s="5" t="e">
        <f t="shared" si="13"/>
        <v>#DIV/0!</v>
      </c>
      <c r="L65" s="5" t="e">
        <f t="shared" si="14"/>
        <v>#DIV/0!</v>
      </c>
      <c r="M65" s="5" t="e">
        <f t="shared" si="15"/>
        <v>#DIV/0!</v>
      </c>
      <c r="N65" s="5" t="e">
        <f t="shared" si="16"/>
        <v>#DIV/0!</v>
      </c>
      <c r="O65" s="5" t="e">
        <f t="shared" si="17"/>
        <v>#DIV/0!</v>
      </c>
    </row>
    <row r="66" spans="1:15" ht="15.6" customHeight="1" x14ac:dyDescent="0.3">
      <c r="J66" s="4" t="e">
        <f t="shared" si="12"/>
        <v>#DIV/0!</v>
      </c>
      <c r="K66" s="5" t="e">
        <f t="shared" si="13"/>
        <v>#DIV/0!</v>
      </c>
      <c r="L66" s="5" t="e">
        <f t="shared" si="14"/>
        <v>#DIV/0!</v>
      </c>
      <c r="M66" s="5" t="e">
        <f t="shared" si="15"/>
        <v>#DIV/0!</v>
      </c>
      <c r="N66" s="5" t="e">
        <f t="shared" si="16"/>
        <v>#DIV/0!</v>
      </c>
      <c r="O66" s="5" t="e">
        <f t="shared" si="17"/>
        <v>#DIV/0!</v>
      </c>
    </row>
    <row r="67" spans="1:15" ht="15.6" customHeight="1" x14ac:dyDescent="0.3">
      <c r="J67" s="4" t="e">
        <f t="shared" si="12"/>
        <v>#DIV/0!</v>
      </c>
      <c r="K67" s="5" t="e">
        <f t="shared" si="13"/>
        <v>#DIV/0!</v>
      </c>
      <c r="L67" s="5" t="e">
        <f t="shared" si="14"/>
        <v>#DIV/0!</v>
      </c>
      <c r="M67" s="5" t="e">
        <f t="shared" si="15"/>
        <v>#DIV/0!</v>
      </c>
      <c r="N67" s="5" t="e">
        <f t="shared" si="16"/>
        <v>#DIV/0!</v>
      </c>
      <c r="O67" s="5" t="e">
        <f t="shared" si="17"/>
        <v>#DIV/0!</v>
      </c>
    </row>
    <row r="68" spans="1:15" ht="15.6" customHeight="1" x14ac:dyDescent="0.3">
      <c r="A68" s="13" t="s">
        <v>17</v>
      </c>
      <c r="B68" s="7"/>
      <c r="C68" s="7"/>
      <c r="D68" s="8"/>
      <c r="E68" s="7"/>
      <c r="F68" s="8"/>
      <c r="G68" s="8"/>
      <c r="H68" s="8"/>
      <c r="I68" s="8"/>
      <c r="J68" s="9"/>
      <c r="K68" s="10"/>
      <c r="L68" s="10"/>
      <c r="M68" s="10"/>
      <c r="N68" s="10"/>
      <c r="O68" s="10"/>
    </row>
    <row r="69" spans="1:15" ht="15.6" customHeight="1" x14ac:dyDescent="0.3">
      <c r="A69" s="1">
        <v>4</v>
      </c>
      <c r="B69" s="1">
        <v>200</v>
      </c>
      <c r="C69" s="1">
        <v>4000</v>
      </c>
      <c r="D69" s="2">
        <v>0.1</v>
      </c>
      <c r="E69" s="1">
        <v>10</v>
      </c>
      <c r="F69" s="2">
        <v>0</v>
      </c>
      <c r="G69" s="2">
        <v>68.14</v>
      </c>
      <c r="H69" s="2">
        <v>21.14</v>
      </c>
      <c r="I69" s="2">
        <v>0</v>
      </c>
      <c r="J69" s="4">
        <f t="shared" ref="J69:J89" si="18">H69/SQRT(C69)</f>
        <v>0.33425274867979771</v>
      </c>
      <c r="K69" s="5">
        <f t="shared" ref="K69:K89" si="19">-10*LOG10(G69/(B69*3))</f>
        <v>9.4474912115178498</v>
      </c>
      <c r="L69" s="5">
        <f t="shared" ref="L69:L89" si="20">-10*LOG10((G69+1.96*J69)/(B69*3))</f>
        <v>9.4059352071058733</v>
      </c>
      <c r="M69" s="5">
        <f t="shared" ref="M69:M89" si="21">-10*LOG10((G69-1.96*J69)/(B69*3))</f>
        <v>9.4894486943845848</v>
      </c>
      <c r="N69" s="5">
        <f t="shared" ref="N69:N89" si="22">K69-L69</f>
        <v>4.1556004411976488E-2</v>
      </c>
      <c r="O69" s="5">
        <f t="shared" ref="O69:O89" si="23">M69-K69</f>
        <v>4.1957482866735063E-2</v>
      </c>
    </row>
    <row r="70" spans="1:15" ht="15.6" customHeight="1" x14ac:dyDescent="0.3">
      <c r="A70" s="1">
        <v>4</v>
      </c>
      <c r="B70" s="1">
        <v>200</v>
      </c>
      <c r="C70" s="1">
        <v>4000</v>
      </c>
      <c r="D70" s="2">
        <v>0.1</v>
      </c>
      <c r="E70" s="1">
        <v>10</v>
      </c>
      <c r="F70" s="2">
        <v>0</v>
      </c>
      <c r="G70" s="2">
        <v>67.989999999999995</v>
      </c>
      <c r="H70" s="2">
        <v>25.06</v>
      </c>
      <c r="I70" s="2">
        <v>1</v>
      </c>
      <c r="J70" s="4">
        <f t="shared" si="18"/>
        <v>0.39623339081909792</v>
      </c>
      <c r="K70" s="5">
        <f t="shared" si="19"/>
        <v>9.4570620920953257</v>
      </c>
      <c r="L70" s="5">
        <f t="shared" si="20"/>
        <v>9.4077358798234876</v>
      </c>
      <c r="M70" s="5">
        <f t="shared" si="21"/>
        <v>9.5069549830128146</v>
      </c>
      <c r="N70" s="5">
        <f t="shared" si="22"/>
        <v>4.9326212271838088E-2</v>
      </c>
      <c r="O70" s="5">
        <f t="shared" si="23"/>
        <v>4.9892890917488941E-2</v>
      </c>
    </row>
    <row r="71" spans="1:15" ht="15.6" customHeight="1" x14ac:dyDescent="0.3">
      <c r="A71" s="3">
        <v>4</v>
      </c>
      <c r="B71" s="3">
        <v>200</v>
      </c>
      <c r="C71" s="3">
        <v>4000</v>
      </c>
      <c r="D71" s="4">
        <v>0.1</v>
      </c>
      <c r="E71" s="3">
        <v>10</v>
      </c>
      <c r="F71" s="4">
        <v>0</v>
      </c>
      <c r="G71" s="4">
        <v>67.09</v>
      </c>
      <c r="H71" s="4">
        <v>22.96</v>
      </c>
      <c r="I71" s="2">
        <v>2</v>
      </c>
      <c r="J71" s="4">
        <f t="shared" si="18"/>
        <v>0.36302947538732999</v>
      </c>
      <c r="K71" s="5">
        <f t="shared" si="19"/>
        <v>9.5149345850777429</v>
      </c>
      <c r="L71" s="5">
        <f t="shared" si="20"/>
        <v>9.469117063954025</v>
      </c>
      <c r="M71" s="5">
        <f t="shared" si="21"/>
        <v>9.5612406337651894</v>
      </c>
      <c r="N71" s="5">
        <f t="shared" si="22"/>
        <v>4.5817521123717952E-2</v>
      </c>
      <c r="O71" s="5">
        <f t="shared" si="23"/>
        <v>4.6306048687446477E-2</v>
      </c>
    </row>
    <row r="72" spans="1:15" ht="15.6" customHeight="1" x14ac:dyDescent="0.3">
      <c r="A72" s="3">
        <v>4</v>
      </c>
      <c r="B72" s="3">
        <v>200</v>
      </c>
      <c r="C72" s="3">
        <v>4000</v>
      </c>
      <c r="D72" s="4">
        <v>0.1</v>
      </c>
      <c r="E72" s="3">
        <v>10</v>
      </c>
      <c r="F72" s="4">
        <v>0</v>
      </c>
      <c r="G72" s="4">
        <v>66.989999999999995</v>
      </c>
      <c r="H72" s="4">
        <v>24.48</v>
      </c>
      <c r="I72" s="2">
        <v>3</v>
      </c>
      <c r="J72" s="4">
        <f t="shared" si="18"/>
        <v>0.38706278560460966</v>
      </c>
      <c r="K72" s="5">
        <f t="shared" si="19"/>
        <v>9.5214127259254333</v>
      </c>
      <c r="L72" s="5">
        <f t="shared" si="20"/>
        <v>9.4725064925121156</v>
      </c>
      <c r="M72" s="5">
        <f t="shared" si="21"/>
        <v>9.5708759747157774</v>
      </c>
      <c r="N72" s="5">
        <f t="shared" si="22"/>
        <v>4.8906233413317679E-2</v>
      </c>
      <c r="O72" s="5">
        <f t="shared" si="23"/>
        <v>4.9463248790344139E-2</v>
      </c>
    </row>
    <row r="73" spans="1:15" ht="15.6" customHeight="1" x14ac:dyDescent="0.3">
      <c r="A73" s="3">
        <v>4</v>
      </c>
      <c r="B73" s="3">
        <v>200</v>
      </c>
      <c r="C73" s="3">
        <v>4000</v>
      </c>
      <c r="D73" s="4">
        <v>0.1</v>
      </c>
      <c r="E73" s="3">
        <v>10</v>
      </c>
      <c r="F73" s="4">
        <v>0</v>
      </c>
      <c r="G73" s="4">
        <v>66.41</v>
      </c>
      <c r="H73" s="4">
        <v>24.54</v>
      </c>
      <c r="I73" s="2">
        <v>4</v>
      </c>
      <c r="J73" s="4">
        <f t="shared" si="18"/>
        <v>0.38801146890266014</v>
      </c>
      <c r="K73" s="5">
        <f t="shared" si="19"/>
        <v>9.5591777014479966</v>
      </c>
      <c r="L73" s="5">
        <f t="shared" si="20"/>
        <v>9.5097265326759022</v>
      </c>
      <c r="M73" s="5">
        <f t="shared" si="21"/>
        <v>9.6091984402080328</v>
      </c>
      <c r="N73" s="5">
        <f t="shared" si="22"/>
        <v>4.9451168772094434E-2</v>
      </c>
      <c r="O73" s="5">
        <f t="shared" si="23"/>
        <v>5.002073876003621E-2</v>
      </c>
    </row>
    <row r="74" spans="1:15" ht="15.6" customHeight="1" x14ac:dyDescent="0.3">
      <c r="A74" s="3">
        <v>4</v>
      </c>
      <c r="B74" s="3">
        <v>200</v>
      </c>
      <c r="C74" s="3">
        <v>4000</v>
      </c>
      <c r="D74" s="4">
        <v>0.1</v>
      </c>
      <c r="E74" s="3">
        <v>10</v>
      </c>
      <c r="F74" s="4">
        <v>0</v>
      </c>
      <c r="G74" s="4">
        <v>66.08</v>
      </c>
      <c r="H74" s="4">
        <v>21.09</v>
      </c>
      <c r="I74" s="2">
        <v>5</v>
      </c>
      <c r="J74" s="4">
        <f t="shared" si="18"/>
        <v>0.33346217926475563</v>
      </c>
      <c r="K74" s="5">
        <f t="shared" si="19"/>
        <v>9.5808121607131778</v>
      </c>
      <c r="L74" s="5">
        <f t="shared" si="20"/>
        <v>9.5380678846854572</v>
      </c>
      <c r="M74" s="5">
        <f t="shared" si="21"/>
        <v>9.6239813211523497</v>
      </c>
      <c r="N74" s="5">
        <f t="shared" si="22"/>
        <v>4.2744276027720574E-2</v>
      </c>
      <c r="O74" s="5">
        <f t="shared" si="23"/>
        <v>4.3169160439171961E-2</v>
      </c>
    </row>
    <row r="75" spans="1:15" ht="15.6" customHeight="1" x14ac:dyDescent="0.3">
      <c r="A75" s="3">
        <v>4</v>
      </c>
      <c r="B75" s="3">
        <v>200</v>
      </c>
      <c r="C75" s="3">
        <v>4000</v>
      </c>
      <c r="D75" s="4">
        <v>0.1</v>
      </c>
      <c r="E75" s="3">
        <v>10</v>
      </c>
      <c r="F75" s="4">
        <v>0</v>
      </c>
      <c r="G75" s="4">
        <v>67.19</v>
      </c>
      <c r="H75" s="4">
        <v>22.9</v>
      </c>
      <c r="I75" s="2">
        <v>6</v>
      </c>
      <c r="J75" s="4">
        <f t="shared" si="18"/>
        <v>0.3620807920892794</v>
      </c>
      <c r="K75" s="5">
        <f t="shared" si="19"/>
        <v>9.5084660929390878</v>
      </c>
      <c r="L75" s="5">
        <f t="shared" si="20"/>
        <v>9.4628353339426727</v>
      </c>
      <c r="M75" s="5">
        <f t="shared" si="21"/>
        <v>9.554581383831815</v>
      </c>
      <c r="N75" s="5">
        <f t="shared" si="22"/>
        <v>4.5630758996415111E-2</v>
      </c>
      <c r="O75" s="5">
        <f t="shared" si="23"/>
        <v>4.6115290892727145E-2</v>
      </c>
    </row>
    <row r="76" spans="1:15" ht="15.6" customHeight="1" x14ac:dyDescent="0.3">
      <c r="A76" s="3">
        <v>4</v>
      </c>
      <c r="B76" s="3">
        <v>200</v>
      </c>
      <c r="C76" s="3">
        <v>4000</v>
      </c>
      <c r="D76" s="4">
        <v>0.1</v>
      </c>
      <c r="E76" s="3">
        <v>10</v>
      </c>
      <c r="F76" s="4">
        <v>0</v>
      </c>
      <c r="G76" s="4">
        <v>68.28</v>
      </c>
      <c r="H76" s="4">
        <v>23.82</v>
      </c>
      <c r="I76" s="2">
        <v>7</v>
      </c>
      <c r="J76" s="4">
        <f t="shared" si="18"/>
        <v>0.376627269326054</v>
      </c>
      <c r="K76" s="5">
        <f t="shared" si="19"/>
        <v>9.4385773794094767</v>
      </c>
      <c r="L76" s="5">
        <f t="shared" si="20"/>
        <v>9.3918768811303348</v>
      </c>
      <c r="M76" s="5">
        <f t="shared" si="21"/>
        <v>9.4857855206091486</v>
      </c>
      <c r="N76" s="5">
        <f t="shared" si="22"/>
        <v>4.6700498279141911E-2</v>
      </c>
      <c r="O76" s="5">
        <f t="shared" si="23"/>
        <v>4.7208141199671871E-2</v>
      </c>
    </row>
    <row r="77" spans="1:15" ht="15.6" customHeight="1" x14ac:dyDescent="0.3">
      <c r="A77" s="3">
        <v>4</v>
      </c>
      <c r="B77" s="3">
        <v>200</v>
      </c>
      <c r="C77" s="3">
        <v>4000</v>
      </c>
      <c r="D77" s="4">
        <v>0.1</v>
      </c>
      <c r="E77" s="3">
        <v>10</v>
      </c>
      <c r="F77" s="4">
        <v>0</v>
      </c>
      <c r="G77" s="4">
        <v>69.83</v>
      </c>
      <c r="H77" s="4">
        <v>23.49</v>
      </c>
      <c r="I77" s="2">
        <v>8</v>
      </c>
      <c r="J77" s="4">
        <f t="shared" si="18"/>
        <v>0.37140951118677612</v>
      </c>
      <c r="K77" s="5">
        <f t="shared" si="19"/>
        <v>9.3410920834262718</v>
      </c>
      <c r="L77" s="5">
        <f t="shared" si="20"/>
        <v>9.2960521831293459</v>
      </c>
      <c r="M77" s="5">
        <f t="shared" si="21"/>
        <v>9.3866039837376629</v>
      </c>
      <c r="N77" s="5">
        <f t="shared" si="22"/>
        <v>4.503990029692595E-2</v>
      </c>
      <c r="O77" s="5">
        <f t="shared" si="23"/>
        <v>4.5511900311391074E-2</v>
      </c>
    </row>
    <row r="78" spans="1:15" ht="15.6" customHeight="1" x14ac:dyDescent="0.3">
      <c r="A78" s="3">
        <v>4</v>
      </c>
      <c r="B78" s="3">
        <v>200</v>
      </c>
      <c r="C78" s="3">
        <v>4000</v>
      </c>
      <c r="D78" s="4">
        <v>0.1</v>
      </c>
      <c r="E78" s="3">
        <v>10</v>
      </c>
      <c r="F78" s="4">
        <v>0</v>
      </c>
      <c r="G78" s="4">
        <v>71.64</v>
      </c>
      <c r="H78" s="4">
        <v>23.85</v>
      </c>
      <c r="I78" s="2">
        <v>9</v>
      </c>
      <c r="J78" s="4">
        <f t="shared" si="18"/>
        <v>0.37710161097507927</v>
      </c>
      <c r="K78" s="5">
        <f t="shared" si="19"/>
        <v>9.2299567320664959</v>
      </c>
      <c r="L78" s="5">
        <f t="shared" si="20"/>
        <v>9.1853795687479654</v>
      </c>
      <c r="M78" s="5">
        <f t="shared" si="21"/>
        <v>9.2749961967651462</v>
      </c>
      <c r="N78" s="5">
        <f t="shared" si="22"/>
        <v>4.4577163318530566E-2</v>
      </c>
      <c r="O78" s="5">
        <f t="shared" si="23"/>
        <v>4.5039464698650278E-2</v>
      </c>
    </row>
    <row r="79" spans="1:15" ht="15.6" customHeight="1" x14ac:dyDescent="0.3">
      <c r="A79" s="3">
        <v>4</v>
      </c>
      <c r="B79" s="3">
        <v>200</v>
      </c>
      <c r="C79" s="3">
        <v>4000</v>
      </c>
      <c r="D79" s="4">
        <v>0.1</v>
      </c>
      <c r="E79" s="3">
        <v>10</v>
      </c>
      <c r="F79" s="4">
        <v>0</v>
      </c>
      <c r="G79" s="4">
        <v>73.11</v>
      </c>
      <c r="H79" s="4">
        <v>22.6</v>
      </c>
      <c r="I79" s="2">
        <v>10</v>
      </c>
      <c r="J79" s="4">
        <f t="shared" si="18"/>
        <v>0.3573373755990269</v>
      </c>
      <c r="K79" s="5">
        <f t="shared" si="19"/>
        <v>9.1417446647925686</v>
      </c>
      <c r="L79" s="5">
        <f t="shared" si="20"/>
        <v>9.1003380176927067</v>
      </c>
      <c r="M79" s="5">
        <f t="shared" si="21"/>
        <v>9.1835498957464967</v>
      </c>
      <c r="N79" s="5">
        <f t="shared" si="22"/>
        <v>4.1406647099861971E-2</v>
      </c>
      <c r="O79" s="5">
        <f t="shared" si="23"/>
        <v>4.1805230953928074E-2</v>
      </c>
    </row>
    <row r="80" spans="1:15" ht="15.6" customHeight="1" x14ac:dyDescent="0.3">
      <c r="A80" s="3"/>
      <c r="B80" s="3"/>
      <c r="C80" s="3"/>
      <c r="D80" s="4"/>
      <c r="E80" s="3"/>
      <c r="F80" s="3"/>
      <c r="G80" s="4"/>
      <c r="H80" s="4"/>
      <c r="I80" s="4"/>
      <c r="J80" s="4" t="e">
        <f t="shared" si="18"/>
        <v>#DIV/0!</v>
      </c>
      <c r="K80" s="5" t="e">
        <f t="shared" si="19"/>
        <v>#DIV/0!</v>
      </c>
      <c r="L80" s="5" t="e">
        <f t="shared" si="20"/>
        <v>#DIV/0!</v>
      </c>
      <c r="M80" s="5" t="e">
        <f t="shared" si="21"/>
        <v>#DIV/0!</v>
      </c>
      <c r="N80" s="5" t="e">
        <f t="shared" si="22"/>
        <v>#DIV/0!</v>
      </c>
      <c r="O80" s="5" t="e">
        <f t="shared" si="23"/>
        <v>#DIV/0!</v>
      </c>
    </row>
    <row r="81" spans="1:15" ht="15.6" customHeight="1" x14ac:dyDescent="0.3">
      <c r="A81" s="3"/>
      <c r="B81" s="3"/>
      <c r="C81" s="3"/>
      <c r="D81" s="4"/>
      <c r="E81" s="3"/>
      <c r="F81" s="4"/>
      <c r="G81" s="4"/>
      <c r="H81" s="4"/>
      <c r="I81" s="4"/>
      <c r="J81" s="4" t="e">
        <f t="shared" si="18"/>
        <v>#DIV/0!</v>
      </c>
      <c r="K81" s="5" t="e">
        <f t="shared" si="19"/>
        <v>#DIV/0!</v>
      </c>
      <c r="L81" s="5" t="e">
        <f t="shared" si="20"/>
        <v>#DIV/0!</v>
      </c>
      <c r="M81" s="5" t="e">
        <f t="shared" si="21"/>
        <v>#DIV/0!</v>
      </c>
      <c r="N81" s="5" t="e">
        <f t="shared" si="22"/>
        <v>#DIV/0!</v>
      </c>
      <c r="O81" s="5" t="e">
        <f t="shared" si="23"/>
        <v>#DIV/0!</v>
      </c>
    </row>
    <row r="82" spans="1:15" ht="15.6" customHeight="1" x14ac:dyDescent="0.3">
      <c r="A82" s="3"/>
      <c r="B82" s="3"/>
      <c r="C82" s="3"/>
      <c r="D82" s="4"/>
      <c r="E82" s="3"/>
      <c r="F82" s="4"/>
      <c r="G82" s="4"/>
      <c r="H82" s="4"/>
      <c r="I82" s="4"/>
      <c r="J82" s="4" t="e">
        <f t="shared" si="18"/>
        <v>#DIV/0!</v>
      </c>
      <c r="K82" s="5" t="e">
        <f t="shared" si="19"/>
        <v>#DIV/0!</v>
      </c>
      <c r="L82" s="5" t="e">
        <f t="shared" si="20"/>
        <v>#DIV/0!</v>
      </c>
      <c r="M82" s="5" t="e">
        <f t="shared" si="21"/>
        <v>#DIV/0!</v>
      </c>
      <c r="N82" s="5" t="e">
        <f t="shared" si="22"/>
        <v>#DIV/0!</v>
      </c>
      <c r="O82" s="5" t="e">
        <f t="shared" si="23"/>
        <v>#DIV/0!</v>
      </c>
    </row>
    <row r="83" spans="1:15" ht="15.6" customHeight="1" x14ac:dyDescent="0.3">
      <c r="A83" s="3"/>
      <c r="B83" s="3"/>
      <c r="C83" s="3"/>
      <c r="D83" s="4"/>
      <c r="E83" s="3"/>
      <c r="F83" s="4"/>
      <c r="G83" s="4"/>
      <c r="H83" s="4"/>
      <c r="I83" s="4"/>
      <c r="J83" s="4" t="e">
        <f t="shared" si="18"/>
        <v>#DIV/0!</v>
      </c>
      <c r="K83" s="5" t="e">
        <f t="shared" si="19"/>
        <v>#DIV/0!</v>
      </c>
      <c r="L83" s="5" t="e">
        <f t="shared" si="20"/>
        <v>#DIV/0!</v>
      </c>
      <c r="M83" s="5" t="e">
        <f t="shared" si="21"/>
        <v>#DIV/0!</v>
      </c>
      <c r="N83" s="5" t="e">
        <f t="shared" si="22"/>
        <v>#DIV/0!</v>
      </c>
      <c r="O83" s="5" t="e">
        <f t="shared" si="23"/>
        <v>#DIV/0!</v>
      </c>
    </row>
    <row r="84" spans="1:15" ht="15.6" customHeight="1" x14ac:dyDescent="0.3">
      <c r="A84" s="3"/>
      <c r="B84" s="3"/>
      <c r="C84" s="3"/>
      <c r="D84" s="4"/>
      <c r="E84" s="3"/>
      <c r="F84" s="4"/>
      <c r="G84" s="4"/>
      <c r="H84" s="4"/>
      <c r="I84" s="4"/>
      <c r="J84" s="4" t="e">
        <f t="shared" si="18"/>
        <v>#DIV/0!</v>
      </c>
      <c r="K84" s="5" t="e">
        <f t="shared" si="19"/>
        <v>#DIV/0!</v>
      </c>
      <c r="L84" s="5" t="e">
        <f t="shared" si="20"/>
        <v>#DIV/0!</v>
      </c>
      <c r="M84" s="5" t="e">
        <f t="shared" si="21"/>
        <v>#DIV/0!</v>
      </c>
      <c r="N84" s="5" t="e">
        <f t="shared" si="22"/>
        <v>#DIV/0!</v>
      </c>
      <c r="O84" s="5" t="e">
        <f t="shared" si="23"/>
        <v>#DIV/0!</v>
      </c>
    </row>
    <row r="85" spans="1:15" x14ac:dyDescent="0.3">
      <c r="J85" s="4" t="e">
        <f t="shared" si="18"/>
        <v>#DIV/0!</v>
      </c>
      <c r="K85" s="5" t="e">
        <f t="shared" si="19"/>
        <v>#DIV/0!</v>
      </c>
      <c r="L85" s="5" t="e">
        <f t="shared" si="20"/>
        <v>#DIV/0!</v>
      </c>
      <c r="M85" s="5" t="e">
        <f t="shared" si="21"/>
        <v>#DIV/0!</v>
      </c>
      <c r="N85" s="5" t="e">
        <f t="shared" si="22"/>
        <v>#DIV/0!</v>
      </c>
      <c r="O85" s="5" t="e">
        <f t="shared" si="23"/>
        <v>#DIV/0!</v>
      </c>
    </row>
    <row r="86" spans="1:15" x14ac:dyDescent="0.3">
      <c r="J86" s="4" t="e">
        <f t="shared" si="18"/>
        <v>#DIV/0!</v>
      </c>
      <c r="K86" s="5" t="e">
        <f t="shared" si="19"/>
        <v>#DIV/0!</v>
      </c>
      <c r="L86" s="5" t="e">
        <f t="shared" si="20"/>
        <v>#DIV/0!</v>
      </c>
      <c r="M86" s="5" t="e">
        <f t="shared" si="21"/>
        <v>#DIV/0!</v>
      </c>
      <c r="N86" s="5" t="e">
        <f t="shared" si="22"/>
        <v>#DIV/0!</v>
      </c>
      <c r="O86" s="5" t="e">
        <f t="shared" si="23"/>
        <v>#DIV/0!</v>
      </c>
    </row>
    <row r="87" spans="1:15" x14ac:dyDescent="0.3">
      <c r="J87" s="4" t="e">
        <f t="shared" si="18"/>
        <v>#DIV/0!</v>
      </c>
      <c r="K87" s="5" t="e">
        <f t="shared" si="19"/>
        <v>#DIV/0!</v>
      </c>
      <c r="L87" s="5" t="e">
        <f t="shared" si="20"/>
        <v>#DIV/0!</v>
      </c>
      <c r="M87" s="5" t="e">
        <f t="shared" si="21"/>
        <v>#DIV/0!</v>
      </c>
      <c r="N87" s="5" t="e">
        <f t="shared" si="22"/>
        <v>#DIV/0!</v>
      </c>
      <c r="O87" s="5" t="e">
        <f t="shared" si="23"/>
        <v>#DIV/0!</v>
      </c>
    </row>
    <row r="88" spans="1:15" x14ac:dyDescent="0.3">
      <c r="J88" s="4" t="e">
        <f t="shared" si="18"/>
        <v>#DIV/0!</v>
      </c>
      <c r="K88" s="5" t="e">
        <f t="shared" si="19"/>
        <v>#DIV/0!</v>
      </c>
      <c r="L88" s="5" t="e">
        <f t="shared" si="20"/>
        <v>#DIV/0!</v>
      </c>
      <c r="M88" s="5" t="e">
        <f t="shared" si="21"/>
        <v>#DIV/0!</v>
      </c>
      <c r="N88" s="5" t="e">
        <f t="shared" si="22"/>
        <v>#DIV/0!</v>
      </c>
      <c r="O88" s="5" t="e">
        <f t="shared" si="23"/>
        <v>#DIV/0!</v>
      </c>
    </row>
    <row r="89" spans="1:15" x14ac:dyDescent="0.3">
      <c r="J89" s="4" t="e">
        <f t="shared" si="18"/>
        <v>#DIV/0!</v>
      </c>
      <c r="K89" s="5" t="e">
        <f t="shared" si="19"/>
        <v>#DIV/0!</v>
      </c>
      <c r="L89" s="5" t="e">
        <f t="shared" si="20"/>
        <v>#DIV/0!</v>
      </c>
      <c r="M89" s="5" t="e">
        <f t="shared" si="21"/>
        <v>#DIV/0!</v>
      </c>
      <c r="N89" s="5" t="e">
        <f t="shared" si="22"/>
        <v>#DIV/0!</v>
      </c>
      <c r="O89" s="5" t="e">
        <f t="shared" si="23"/>
        <v>#DIV/0!</v>
      </c>
    </row>
    <row r="107" spans="10:15" ht="18.75" customHeight="1" x14ac:dyDescent="0.3">
      <c r="J107" s="4"/>
      <c r="K107" s="5"/>
      <c r="L107" s="5"/>
      <c r="M107" s="5"/>
      <c r="N107" s="5"/>
      <c r="O107" s="5"/>
    </row>
  </sheetData>
  <pageMargins left="0.7" right="0.7" top="0.75" bottom="0.75" header="0.3" footer="0.3"/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FBAEBE-7B6E-4053-B750-3A44264A1785}">
  <sheetPr>
    <outlinePr summaryBelow="0"/>
  </sheetPr>
  <dimension ref="A1:O107"/>
  <sheetViews>
    <sheetView topLeftCell="D1" zoomScale="115" zoomScaleNormal="115" workbookViewId="0">
      <pane ySplit="1" topLeftCell="A2" activePane="bottomLeft" state="frozen"/>
      <selection activeCell="G30" sqref="G30"/>
      <selection pane="bottomLeft" activeCell="P20" sqref="P20"/>
    </sheetView>
  </sheetViews>
  <sheetFormatPr defaultRowHeight="14.4" x14ac:dyDescent="0.3"/>
  <cols>
    <col min="1" max="1" width="13.33203125" style="1" bestFit="1" customWidth="1"/>
    <col min="2" max="2" width="10.33203125" style="1" customWidth="1"/>
    <col min="3" max="3" width="10.77734375" style="1" customWidth="1"/>
    <col min="4" max="4" width="10.21875" style="2" customWidth="1"/>
    <col min="5" max="5" width="11.77734375" style="1" customWidth="1"/>
    <col min="6" max="6" width="9.44140625" style="2" customWidth="1"/>
    <col min="7" max="9" width="10" style="2" customWidth="1"/>
    <col min="10" max="10" width="9" style="2" customWidth="1"/>
    <col min="11" max="15" width="12.44140625" style="2" customWidth="1"/>
    <col min="16" max="16" width="12.44140625" customWidth="1"/>
  </cols>
  <sheetData>
    <row r="1" spans="1:15" s="6" customFormat="1" ht="15.6" customHeight="1" x14ac:dyDescent="0.3">
      <c r="A1" s="11" t="s">
        <v>14</v>
      </c>
      <c r="B1" s="11" t="s">
        <v>0</v>
      </c>
      <c r="C1" s="11" t="s">
        <v>1</v>
      </c>
      <c r="D1" s="12" t="s">
        <v>2</v>
      </c>
      <c r="E1" s="11" t="s">
        <v>3</v>
      </c>
      <c r="F1" s="12" t="s">
        <v>4</v>
      </c>
      <c r="G1" s="12" t="s">
        <v>5</v>
      </c>
      <c r="H1" s="12" t="s">
        <v>6</v>
      </c>
      <c r="I1" s="12" t="s">
        <v>19</v>
      </c>
      <c r="J1" s="12" t="s">
        <v>7</v>
      </c>
      <c r="K1" s="12" t="s">
        <v>8</v>
      </c>
      <c r="L1" s="12" t="s">
        <v>9</v>
      </c>
      <c r="M1" s="12" t="s">
        <v>10</v>
      </c>
      <c r="N1" s="12" t="s">
        <v>11</v>
      </c>
      <c r="O1" s="12" t="s">
        <v>12</v>
      </c>
    </row>
    <row r="2" spans="1:15" ht="15.6" customHeight="1" x14ac:dyDescent="0.3">
      <c r="A2" s="13" t="s">
        <v>13</v>
      </c>
      <c r="B2" s="7"/>
      <c r="C2" s="7"/>
      <c r="D2" s="8"/>
      <c r="E2" s="7"/>
      <c r="F2" s="8"/>
      <c r="G2" s="8"/>
      <c r="H2" s="8"/>
      <c r="I2" s="8"/>
      <c r="J2" s="9"/>
      <c r="K2" s="10"/>
      <c r="L2" s="10"/>
      <c r="M2" s="10"/>
      <c r="N2" s="10"/>
      <c r="O2" s="10"/>
    </row>
    <row r="3" spans="1:15" ht="15.6" customHeight="1" x14ac:dyDescent="0.3">
      <c r="A3" s="1">
        <v>1</v>
      </c>
      <c r="B3" s="1">
        <v>200</v>
      </c>
      <c r="C3" s="1">
        <v>4000</v>
      </c>
      <c r="D3" s="2">
        <v>0.1</v>
      </c>
      <c r="E3" s="1">
        <v>10</v>
      </c>
      <c r="F3" s="2">
        <v>0</v>
      </c>
      <c r="G3" s="2">
        <v>151.78</v>
      </c>
      <c r="H3" s="2">
        <v>24.05</v>
      </c>
      <c r="I3" s="2">
        <v>0</v>
      </c>
      <c r="J3" s="4">
        <f t="shared" ref="J3:J23" si="0">H3/SQRT(C3)</f>
        <v>0.38026388863524763</v>
      </c>
      <c r="K3" s="5">
        <f t="shared" ref="K3:K23" si="1">-10*LOG10(G3/(B3*3))</f>
        <v>5.9693670189322905</v>
      </c>
      <c r="L3" s="5">
        <f t="shared" ref="L3:L23" si="2">-10*LOG10((G3+1.96*J3)/(B3*3))</f>
        <v>5.948093134738393</v>
      </c>
      <c r="M3" s="5">
        <f t="shared" ref="M3:M23" si="3">-10*LOG10((G3-1.96*J3)/(B3*3))</f>
        <v>5.9907456262921643</v>
      </c>
      <c r="N3" s="5">
        <f t="shared" ref="N3:N23" si="4">K3-L3</f>
        <v>2.127388419389753E-2</v>
      </c>
      <c r="O3" s="5">
        <f t="shared" ref="O3:O23" si="5">M3-K3</f>
        <v>2.1378607359873847E-2</v>
      </c>
    </row>
    <row r="4" spans="1:15" ht="15.6" customHeight="1" x14ac:dyDescent="0.3">
      <c r="A4" s="3">
        <v>1</v>
      </c>
      <c r="B4" s="3">
        <v>200</v>
      </c>
      <c r="C4" s="3">
        <v>4000</v>
      </c>
      <c r="D4" s="4">
        <v>0.1</v>
      </c>
      <c r="E4" s="3">
        <v>10</v>
      </c>
      <c r="F4" s="4">
        <v>0</v>
      </c>
      <c r="G4" s="4">
        <v>150.47</v>
      </c>
      <c r="H4" s="4">
        <v>24.09</v>
      </c>
      <c r="I4" s="2">
        <v>1</v>
      </c>
      <c r="J4" s="4">
        <f t="shared" si="0"/>
        <v>0.3808963441672813</v>
      </c>
      <c r="K4" s="5">
        <f t="shared" si="1"/>
        <v>6.0070132941181873</v>
      </c>
      <c r="L4" s="5">
        <f t="shared" si="2"/>
        <v>5.985519053280667</v>
      </c>
      <c r="M4" s="5">
        <f t="shared" si="3"/>
        <v>6.0286144442754583</v>
      </c>
      <c r="N4" s="5">
        <f t="shared" si="4"/>
        <v>2.1494240837520273E-2</v>
      </c>
      <c r="O4" s="5">
        <f t="shared" si="5"/>
        <v>2.1601150157271043E-2</v>
      </c>
    </row>
    <row r="5" spans="1:15" ht="15.6" customHeight="1" x14ac:dyDescent="0.3">
      <c r="A5" s="3">
        <v>1</v>
      </c>
      <c r="B5" s="3">
        <v>200</v>
      </c>
      <c r="C5" s="3">
        <v>4000</v>
      </c>
      <c r="D5" s="4">
        <v>0.1</v>
      </c>
      <c r="E5" s="3">
        <v>10</v>
      </c>
      <c r="F5" s="4">
        <v>0</v>
      </c>
      <c r="G5" s="4">
        <v>149.87</v>
      </c>
      <c r="H5" s="4">
        <v>23.69</v>
      </c>
      <c r="I5" s="4">
        <v>2</v>
      </c>
      <c r="J5" s="4">
        <f t="shared" si="0"/>
        <v>0.37457178884694459</v>
      </c>
      <c r="K5" s="5">
        <f t="shared" si="1"/>
        <v>6.0243654307494845</v>
      </c>
      <c r="L5" s="5">
        <f t="shared" si="2"/>
        <v>6.003142802005236</v>
      </c>
      <c r="M5" s="5">
        <f t="shared" si="3"/>
        <v>6.0456922774087438</v>
      </c>
      <c r="N5" s="5">
        <f t="shared" si="4"/>
        <v>2.1222628744248517E-2</v>
      </c>
      <c r="O5" s="5">
        <f t="shared" si="5"/>
        <v>2.1326846659259324E-2</v>
      </c>
    </row>
    <row r="6" spans="1:15" ht="15.6" customHeight="1" x14ac:dyDescent="0.3">
      <c r="A6" s="3">
        <v>1</v>
      </c>
      <c r="B6" s="3">
        <v>200</v>
      </c>
      <c r="C6" s="3">
        <v>4000</v>
      </c>
      <c r="D6" s="4">
        <v>0.1</v>
      </c>
      <c r="E6" s="3">
        <v>10</v>
      </c>
      <c r="F6" s="4">
        <v>0</v>
      </c>
      <c r="G6" s="4">
        <v>149.72</v>
      </c>
      <c r="H6" s="4">
        <v>24.71</v>
      </c>
      <c r="I6" s="2">
        <v>3</v>
      </c>
      <c r="J6" s="4">
        <f t="shared" si="0"/>
        <v>0.39069940491380328</v>
      </c>
      <c r="K6" s="5">
        <f t="shared" si="1"/>
        <v>6.0287143194125932</v>
      </c>
      <c r="L6" s="5">
        <f t="shared" si="2"/>
        <v>6.0065581318192054</v>
      </c>
      <c r="M6" s="5">
        <f t="shared" si="3"/>
        <v>6.0509841199980086</v>
      </c>
      <c r="N6" s="5">
        <f t="shared" si="4"/>
        <v>2.2156187593387777E-2</v>
      </c>
      <c r="O6" s="5">
        <f t="shared" si="5"/>
        <v>2.2269800585415389E-2</v>
      </c>
    </row>
    <row r="7" spans="1:15" ht="15.6" customHeight="1" x14ac:dyDescent="0.3">
      <c r="A7" s="3">
        <v>1</v>
      </c>
      <c r="B7" s="3">
        <v>200</v>
      </c>
      <c r="C7" s="3">
        <v>4000</v>
      </c>
      <c r="D7" s="4">
        <v>0.1</v>
      </c>
      <c r="E7" s="3">
        <v>10</v>
      </c>
      <c r="F7" s="4">
        <v>0</v>
      </c>
      <c r="G7" s="4">
        <v>149.71</v>
      </c>
      <c r="H7" s="4">
        <v>24.49</v>
      </c>
      <c r="I7" s="4">
        <v>4</v>
      </c>
      <c r="J7" s="4">
        <f t="shared" si="0"/>
        <v>0.38722089948761801</v>
      </c>
      <c r="K7" s="5">
        <f t="shared" si="1"/>
        <v>6.0290044002208383</v>
      </c>
      <c r="L7" s="5">
        <f t="shared" si="2"/>
        <v>6.0070435143597916</v>
      </c>
      <c r="M7" s="5">
        <f t="shared" si="3"/>
        <v>6.0510768999072093</v>
      </c>
      <c r="N7" s="5">
        <f t="shared" si="4"/>
        <v>2.1960885861046719E-2</v>
      </c>
      <c r="O7" s="5">
        <f t="shared" si="5"/>
        <v>2.2072499686371039E-2</v>
      </c>
    </row>
    <row r="8" spans="1:15" ht="15.6" customHeight="1" x14ac:dyDescent="0.3">
      <c r="A8" s="3">
        <v>1</v>
      </c>
      <c r="B8" s="3">
        <v>200</v>
      </c>
      <c r="C8" s="3">
        <v>4000</v>
      </c>
      <c r="D8" s="4">
        <v>0.1</v>
      </c>
      <c r="E8" s="3">
        <v>10</v>
      </c>
      <c r="F8" s="4">
        <v>0</v>
      </c>
      <c r="G8" s="4">
        <v>149.88</v>
      </c>
      <c r="H8" s="4">
        <v>24.82</v>
      </c>
      <c r="I8" s="2">
        <v>5</v>
      </c>
      <c r="J8" s="4">
        <f t="shared" si="0"/>
        <v>0.39243865762689589</v>
      </c>
      <c r="K8" s="5">
        <f t="shared" si="1"/>
        <v>6.0240756596188323</v>
      </c>
      <c r="L8" s="5">
        <f t="shared" si="2"/>
        <v>6.001844789463834</v>
      </c>
      <c r="M8" s="5">
        <f t="shared" si="3"/>
        <v>6.0464209119532519</v>
      </c>
      <c r="N8" s="5">
        <f t="shared" si="4"/>
        <v>2.223087015499825E-2</v>
      </c>
      <c r="O8" s="5">
        <f t="shared" si="5"/>
        <v>2.2345252334419641E-2</v>
      </c>
    </row>
    <row r="9" spans="1:15" ht="15.6" customHeight="1" x14ac:dyDescent="0.3">
      <c r="A9" s="3">
        <v>1</v>
      </c>
      <c r="B9" s="3">
        <v>200</v>
      </c>
      <c r="C9" s="3">
        <v>4000</v>
      </c>
      <c r="D9" s="4">
        <v>0.1</v>
      </c>
      <c r="E9" s="3">
        <v>10</v>
      </c>
      <c r="F9" s="4">
        <v>0</v>
      </c>
      <c r="G9" s="4">
        <v>149.09</v>
      </c>
      <c r="H9" s="4">
        <v>23.21</v>
      </c>
      <c r="I9" s="4">
        <v>6</v>
      </c>
      <c r="J9" s="4">
        <f t="shared" si="0"/>
        <v>0.36698232246254042</v>
      </c>
      <c r="K9" s="5">
        <f t="shared" si="1"/>
        <v>6.0470273563932917</v>
      </c>
      <c r="L9" s="5">
        <f t="shared" si="2"/>
        <v>6.0261251811383278</v>
      </c>
      <c r="M9" s="5">
        <f t="shared" si="3"/>
        <v>6.0680306185226671</v>
      </c>
      <c r="N9" s="5">
        <f t="shared" si="4"/>
        <v>2.0902175254963851E-2</v>
      </c>
      <c r="O9" s="5">
        <f t="shared" si="5"/>
        <v>2.1003262129375422E-2</v>
      </c>
    </row>
    <row r="10" spans="1:15" ht="15.6" customHeight="1" x14ac:dyDescent="0.3">
      <c r="A10" s="3">
        <v>1</v>
      </c>
      <c r="B10" s="3">
        <v>200</v>
      </c>
      <c r="C10" s="3">
        <v>4000</v>
      </c>
      <c r="D10" s="4">
        <v>0.1</v>
      </c>
      <c r="E10" s="3">
        <v>10</v>
      </c>
      <c r="F10" s="4">
        <v>0</v>
      </c>
      <c r="G10" s="4">
        <v>149.32</v>
      </c>
      <c r="H10" s="4">
        <v>23.44</v>
      </c>
      <c r="I10" s="2">
        <v>7</v>
      </c>
      <c r="J10" s="4">
        <f t="shared" si="0"/>
        <v>0.3706189417717341</v>
      </c>
      <c r="K10" s="5">
        <f t="shared" si="1"/>
        <v>6.0403326912937674</v>
      </c>
      <c r="L10" s="5">
        <f t="shared" si="2"/>
        <v>6.019256323505954</v>
      </c>
      <c r="M10" s="5">
        <f t="shared" si="3"/>
        <v>6.0615118419784908</v>
      </c>
      <c r="N10" s="5">
        <f t="shared" si="4"/>
        <v>2.107636778781341E-2</v>
      </c>
      <c r="O10" s="5">
        <f t="shared" si="5"/>
        <v>2.1179150684723425E-2</v>
      </c>
    </row>
    <row r="11" spans="1:15" ht="15.6" customHeight="1" x14ac:dyDescent="0.3">
      <c r="A11" s="3">
        <v>1</v>
      </c>
      <c r="B11" s="3">
        <v>200</v>
      </c>
      <c r="C11" s="3">
        <v>4000</v>
      </c>
      <c r="D11" s="4">
        <v>0.1</v>
      </c>
      <c r="E11" s="3">
        <v>10</v>
      </c>
      <c r="F11" s="4">
        <v>0</v>
      </c>
      <c r="G11" s="4">
        <v>148.91</v>
      </c>
      <c r="H11" s="4">
        <v>23.83</v>
      </c>
      <c r="I11" s="4">
        <v>8</v>
      </c>
      <c r="J11" s="4">
        <f t="shared" si="0"/>
        <v>0.37678538320906235</v>
      </c>
      <c r="K11" s="5">
        <f t="shared" si="1"/>
        <v>6.0522738675509888</v>
      </c>
      <c r="L11" s="5">
        <f t="shared" si="2"/>
        <v>6.0307888421450775</v>
      </c>
      <c r="M11" s="5">
        <f t="shared" si="3"/>
        <v>6.0738657103958138</v>
      </c>
      <c r="N11" s="5">
        <f t="shared" si="4"/>
        <v>2.1485025405911351E-2</v>
      </c>
      <c r="O11" s="5">
        <f t="shared" si="5"/>
        <v>2.159184284482496E-2</v>
      </c>
    </row>
    <row r="12" spans="1:15" ht="15.6" customHeight="1" x14ac:dyDescent="0.3">
      <c r="A12" s="3">
        <v>1</v>
      </c>
      <c r="B12" s="3">
        <v>200</v>
      </c>
      <c r="C12" s="3">
        <v>4000</v>
      </c>
      <c r="D12" s="4">
        <v>0.1</v>
      </c>
      <c r="E12" s="3">
        <v>10</v>
      </c>
      <c r="F12" s="4">
        <v>0</v>
      </c>
      <c r="G12" s="4">
        <v>150.16999999999999</v>
      </c>
      <c r="H12" s="4">
        <v>23.51</v>
      </c>
      <c r="I12" s="2">
        <v>9</v>
      </c>
      <c r="J12" s="4">
        <f t="shared" si="0"/>
        <v>0.37172573895279304</v>
      </c>
      <c r="K12" s="5">
        <f t="shared" si="1"/>
        <v>6.0156806961815033</v>
      </c>
      <c r="L12" s="5">
        <f t="shared" si="2"/>
        <v>5.9946609038109653</v>
      </c>
      <c r="M12" s="5">
        <f t="shared" si="3"/>
        <v>6.036802719048751</v>
      </c>
      <c r="N12" s="5">
        <f t="shared" si="4"/>
        <v>2.1019792370537971E-2</v>
      </c>
      <c r="O12" s="5">
        <f t="shared" si="5"/>
        <v>2.1122022867247736E-2</v>
      </c>
    </row>
    <row r="13" spans="1:15" ht="15.6" customHeight="1" x14ac:dyDescent="0.3">
      <c r="A13" s="3">
        <v>1</v>
      </c>
      <c r="B13" s="3">
        <v>200</v>
      </c>
      <c r="C13" s="3">
        <v>4000</v>
      </c>
      <c r="D13" s="4">
        <v>0.1</v>
      </c>
      <c r="E13" s="3">
        <v>10</v>
      </c>
      <c r="F13" s="4">
        <v>0</v>
      </c>
      <c r="G13" s="4">
        <v>150.19999999999999</v>
      </c>
      <c r="H13" s="4">
        <v>23.61</v>
      </c>
      <c r="I13" s="4">
        <v>10</v>
      </c>
      <c r="J13" s="4">
        <f t="shared" si="0"/>
        <v>0.37330687778287719</v>
      </c>
      <c r="K13" s="5">
        <f t="shared" si="1"/>
        <v>6.0148131771549407</v>
      </c>
      <c r="L13" s="5">
        <f t="shared" si="2"/>
        <v>5.9937083997862937</v>
      </c>
      <c r="M13" s="5">
        <f t="shared" si="3"/>
        <v>6.0360210153746632</v>
      </c>
      <c r="N13" s="5">
        <f t="shared" si="4"/>
        <v>2.1104777368647021E-2</v>
      </c>
      <c r="O13" s="5">
        <f t="shared" si="5"/>
        <v>2.1207838219722497E-2</v>
      </c>
    </row>
    <row r="14" spans="1:15" ht="15.6" customHeight="1" x14ac:dyDescent="0.3">
      <c r="A14" s="3"/>
      <c r="B14" s="3"/>
      <c r="C14" s="3"/>
      <c r="D14" s="4"/>
      <c r="E14" s="3"/>
      <c r="F14" s="4"/>
      <c r="G14" s="4"/>
      <c r="H14" s="4"/>
      <c r="I14" s="4"/>
      <c r="J14" s="4" t="e">
        <f t="shared" si="0"/>
        <v>#DIV/0!</v>
      </c>
      <c r="K14" s="5" t="e">
        <f t="shared" si="1"/>
        <v>#DIV/0!</v>
      </c>
      <c r="L14" s="5" t="e">
        <f t="shared" si="2"/>
        <v>#DIV/0!</v>
      </c>
      <c r="M14" s="5" t="e">
        <f t="shared" si="3"/>
        <v>#DIV/0!</v>
      </c>
      <c r="N14" s="5" t="e">
        <f t="shared" si="4"/>
        <v>#DIV/0!</v>
      </c>
      <c r="O14" s="5" t="e">
        <f t="shared" si="5"/>
        <v>#DIV/0!</v>
      </c>
    </row>
    <row r="15" spans="1:15" ht="15.6" customHeight="1" x14ac:dyDescent="0.3">
      <c r="A15" s="3"/>
      <c r="B15" s="3"/>
      <c r="C15" s="3"/>
      <c r="D15" s="4"/>
      <c r="E15" s="3"/>
      <c r="F15" s="4"/>
      <c r="G15" s="4"/>
      <c r="H15" s="4"/>
      <c r="I15" s="4"/>
      <c r="J15" s="4" t="e">
        <f t="shared" si="0"/>
        <v>#DIV/0!</v>
      </c>
      <c r="K15" s="5" t="e">
        <f t="shared" si="1"/>
        <v>#DIV/0!</v>
      </c>
      <c r="L15" s="5" t="e">
        <f t="shared" si="2"/>
        <v>#DIV/0!</v>
      </c>
      <c r="M15" s="5" t="e">
        <f t="shared" si="3"/>
        <v>#DIV/0!</v>
      </c>
      <c r="N15" s="5" t="e">
        <f t="shared" si="4"/>
        <v>#DIV/0!</v>
      </c>
      <c r="O15" s="5" t="e">
        <f t="shared" si="5"/>
        <v>#DIV/0!</v>
      </c>
    </row>
    <row r="16" spans="1:15" ht="15.6" customHeight="1" x14ac:dyDescent="0.3">
      <c r="A16" s="3"/>
      <c r="B16" s="3"/>
      <c r="C16" s="3"/>
      <c r="D16" s="4"/>
      <c r="E16" s="3"/>
      <c r="F16" s="4"/>
      <c r="G16" s="4"/>
      <c r="H16" s="4"/>
      <c r="I16" s="4"/>
      <c r="J16" s="4" t="e">
        <f t="shared" si="0"/>
        <v>#DIV/0!</v>
      </c>
      <c r="K16" s="5" t="e">
        <f t="shared" si="1"/>
        <v>#DIV/0!</v>
      </c>
      <c r="L16" s="5" t="e">
        <f t="shared" si="2"/>
        <v>#DIV/0!</v>
      </c>
      <c r="M16" s="5" t="e">
        <f t="shared" si="3"/>
        <v>#DIV/0!</v>
      </c>
      <c r="N16" s="5" t="e">
        <f t="shared" si="4"/>
        <v>#DIV/0!</v>
      </c>
      <c r="O16" s="5" t="e">
        <f t="shared" si="5"/>
        <v>#DIV/0!</v>
      </c>
    </row>
    <row r="17" spans="1:15" ht="15.6" customHeight="1" x14ac:dyDescent="0.3">
      <c r="A17" s="3"/>
      <c r="B17" s="3"/>
      <c r="C17" s="3"/>
      <c r="D17" s="4"/>
      <c r="E17" s="3"/>
      <c r="F17" s="4"/>
      <c r="G17" s="4"/>
      <c r="H17" s="4"/>
      <c r="I17" s="4"/>
      <c r="J17" s="4" t="e">
        <f t="shared" si="0"/>
        <v>#DIV/0!</v>
      </c>
      <c r="K17" s="5" t="e">
        <f t="shared" si="1"/>
        <v>#DIV/0!</v>
      </c>
      <c r="L17" s="5" t="e">
        <f t="shared" si="2"/>
        <v>#DIV/0!</v>
      </c>
      <c r="M17" s="5" t="e">
        <f t="shared" si="3"/>
        <v>#DIV/0!</v>
      </c>
      <c r="N17" s="5" t="e">
        <f t="shared" si="4"/>
        <v>#DIV/0!</v>
      </c>
      <c r="O17" s="5" t="e">
        <f t="shared" si="5"/>
        <v>#DIV/0!</v>
      </c>
    </row>
    <row r="18" spans="1:15" ht="15.6" customHeight="1" x14ac:dyDescent="0.3">
      <c r="A18" s="3"/>
      <c r="B18" s="3"/>
      <c r="C18" s="3"/>
      <c r="D18" s="4"/>
      <c r="E18" s="3"/>
      <c r="F18" s="4"/>
      <c r="G18" s="4"/>
      <c r="H18" s="4"/>
      <c r="I18" s="4"/>
      <c r="J18" s="4" t="e">
        <f t="shared" si="0"/>
        <v>#DIV/0!</v>
      </c>
      <c r="K18" s="5" t="e">
        <f t="shared" si="1"/>
        <v>#DIV/0!</v>
      </c>
      <c r="L18" s="5" t="e">
        <f t="shared" si="2"/>
        <v>#DIV/0!</v>
      </c>
      <c r="M18" s="5" t="e">
        <f t="shared" si="3"/>
        <v>#DIV/0!</v>
      </c>
      <c r="N18" s="5" t="e">
        <f t="shared" si="4"/>
        <v>#DIV/0!</v>
      </c>
      <c r="O18" s="5" t="e">
        <f t="shared" si="5"/>
        <v>#DIV/0!</v>
      </c>
    </row>
    <row r="19" spans="1:15" ht="15.6" customHeight="1" x14ac:dyDescent="0.3">
      <c r="A19" s="3"/>
      <c r="B19" s="3"/>
      <c r="C19" s="3"/>
      <c r="D19" s="4"/>
      <c r="E19" s="3"/>
      <c r="F19" s="4"/>
      <c r="G19" s="4"/>
      <c r="H19" s="4"/>
      <c r="I19" s="4"/>
      <c r="J19" s="4" t="e">
        <f t="shared" si="0"/>
        <v>#DIV/0!</v>
      </c>
      <c r="K19" s="5" t="e">
        <f t="shared" si="1"/>
        <v>#DIV/0!</v>
      </c>
      <c r="L19" s="5" t="e">
        <f t="shared" si="2"/>
        <v>#DIV/0!</v>
      </c>
      <c r="M19" s="5" t="e">
        <f t="shared" si="3"/>
        <v>#DIV/0!</v>
      </c>
      <c r="N19" s="5" t="e">
        <f t="shared" si="4"/>
        <v>#DIV/0!</v>
      </c>
      <c r="O19" s="5" t="e">
        <f t="shared" si="5"/>
        <v>#DIV/0!</v>
      </c>
    </row>
    <row r="20" spans="1:15" ht="15.6" customHeight="1" x14ac:dyDescent="0.3">
      <c r="A20" s="3"/>
      <c r="B20" s="3"/>
      <c r="C20" s="3"/>
      <c r="D20" s="4"/>
      <c r="E20" s="3"/>
      <c r="F20" s="4"/>
      <c r="G20" s="4"/>
      <c r="H20" s="4"/>
      <c r="I20" s="4"/>
      <c r="J20" s="4" t="e">
        <f t="shared" si="0"/>
        <v>#DIV/0!</v>
      </c>
      <c r="K20" s="5" t="e">
        <f t="shared" si="1"/>
        <v>#DIV/0!</v>
      </c>
      <c r="L20" s="5" t="e">
        <f t="shared" si="2"/>
        <v>#DIV/0!</v>
      </c>
      <c r="M20" s="5" t="e">
        <f t="shared" si="3"/>
        <v>#DIV/0!</v>
      </c>
      <c r="N20" s="5" t="e">
        <f t="shared" si="4"/>
        <v>#DIV/0!</v>
      </c>
      <c r="O20" s="5" t="e">
        <f t="shared" si="5"/>
        <v>#DIV/0!</v>
      </c>
    </row>
    <row r="21" spans="1:15" ht="15.6" customHeight="1" x14ac:dyDescent="0.3">
      <c r="A21" s="3"/>
      <c r="B21" s="3"/>
      <c r="C21" s="3"/>
      <c r="D21" s="4"/>
      <c r="E21" s="3"/>
      <c r="F21" s="4"/>
      <c r="G21" s="4"/>
      <c r="H21" s="4"/>
      <c r="I21" s="4"/>
      <c r="J21" s="4" t="e">
        <f t="shared" si="0"/>
        <v>#DIV/0!</v>
      </c>
      <c r="K21" s="5" t="e">
        <f t="shared" si="1"/>
        <v>#DIV/0!</v>
      </c>
      <c r="L21" s="5" t="e">
        <f t="shared" si="2"/>
        <v>#DIV/0!</v>
      </c>
      <c r="M21" s="5" t="e">
        <f t="shared" si="3"/>
        <v>#DIV/0!</v>
      </c>
      <c r="N21" s="5" t="e">
        <f t="shared" si="4"/>
        <v>#DIV/0!</v>
      </c>
      <c r="O21" s="5" t="e">
        <f t="shared" si="5"/>
        <v>#DIV/0!</v>
      </c>
    </row>
    <row r="22" spans="1:15" ht="15.6" customHeight="1" x14ac:dyDescent="0.3">
      <c r="A22" s="3"/>
      <c r="B22" s="3"/>
      <c r="C22" s="3"/>
      <c r="D22" s="4"/>
      <c r="E22" s="3"/>
      <c r="F22" s="4"/>
      <c r="G22" s="4"/>
      <c r="H22" s="4"/>
      <c r="I22" s="4"/>
      <c r="J22" s="4" t="e">
        <f t="shared" si="0"/>
        <v>#DIV/0!</v>
      </c>
      <c r="K22" s="5" t="e">
        <f t="shared" si="1"/>
        <v>#DIV/0!</v>
      </c>
      <c r="L22" s="5" t="e">
        <f t="shared" si="2"/>
        <v>#DIV/0!</v>
      </c>
      <c r="M22" s="5" t="e">
        <f t="shared" si="3"/>
        <v>#DIV/0!</v>
      </c>
      <c r="N22" s="5" t="e">
        <f t="shared" si="4"/>
        <v>#DIV/0!</v>
      </c>
      <c r="O22" s="5" t="e">
        <f t="shared" si="5"/>
        <v>#DIV/0!</v>
      </c>
    </row>
    <row r="23" spans="1:15" ht="15.6" customHeight="1" x14ac:dyDescent="0.3">
      <c r="A23" s="3"/>
      <c r="B23" s="3"/>
      <c r="C23" s="3"/>
      <c r="D23" s="4"/>
      <c r="E23" s="3"/>
      <c r="F23" s="4"/>
      <c r="G23" s="4"/>
      <c r="H23" s="4"/>
      <c r="I23" s="4"/>
      <c r="J23" s="4" t="e">
        <f t="shared" si="0"/>
        <v>#DIV/0!</v>
      </c>
      <c r="K23" s="5" t="e">
        <f t="shared" si="1"/>
        <v>#DIV/0!</v>
      </c>
      <c r="L23" s="5" t="e">
        <f t="shared" si="2"/>
        <v>#DIV/0!</v>
      </c>
      <c r="M23" s="5" t="e">
        <f t="shared" si="3"/>
        <v>#DIV/0!</v>
      </c>
      <c r="N23" s="5" t="e">
        <f t="shared" si="4"/>
        <v>#DIV/0!</v>
      </c>
      <c r="O23" s="5" t="e">
        <f t="shared" si="5"/>
        <v>#DIV/0!</v>
      </c>
    </row>
    <row r="24" spans="1:15" ht="15.6" customHeight="1" x14ac:dyDescent="0.3">
      <c r="A24" s="13" t="s">
        <v>15</v>
      </c>
      <c r="B24" s="7"/>
      <c r="C24" s="7"/>
      <c r="D24" s="8"/>
      <c r="E24" s="7"/>
      <c r="F24" s="8"/>
      <c r="G24" s="8"/>
      <c r="H24" s="8"/>
      <c r="I24" s="8"/>
      <c r="J24" s="9"/>
      <c r="K24" s="10"/>
      <c r="L24" s="10"/>
      <c r="M24" s="10"/>
      <c r="N24" s="10"/>
      <c r="O24" s="10"/>
    </row>
    <row r="25" spans="1:15" ht="15.6" customHeight="1" x14ac:dyDescent="0.3">
      <c r="A25" s="3">
        <v>2</v>
      </c>
      <c r="B25" s="3">
        <v>200</v>
      </c>
      <c r="C25" s="3">
        <v>4000</v>
      </c>
      <c r="D25" s="4">
        <v>0.1</v>
      </c>
      <c r="E25" s="3">
        <v>10</v>
      </c>
      <c r="F25" s="4">
        <v>0</v>
      </c>
      <c r="G25" s="4">
        <v>176.86</v>
      </c>
      <c r="H25" s="4">
        <v>18.52</v>
      </c>
      <c r="I25" s="2">
        <v>0</v>
      </c>
      <c r="J25" s="4">
        <f t="shared" ref="J25:J45" si="6">H25/SQRT(C25)</f>
        <v>0.29282691133159194</v>
      </c>
      <c r="K25" s="5">
        <f t="shared" ref="K25:K45" si="7">-10*LOG10(G25/(B25*3))</f>
        <v>5.3052162970452974</v>
      </c>
      <c r="L25" s="5">
        <f t="shared" ref="L25:L45" si="8">-10*LOG10((G25+1.96*J25)/(B25*3))</f>
        <v>5.2911455219970946</v>
      </c>
      <c r="M25" s="5">
        <f t="shared" ref="M25:M45" si="9">-10*LOG10((G25-1.96*J25)/(B25*3))</f>
        <v>5.3193328084403566</v>
      </c>
      <c r="N25" s="5">
        <f t="shared" ref="N25:N45" si="10">K25-L25</f>
        <v>1.4070775048202755E-2</v>
      </c>
      <c r="O25" s="5">
        <f t="shared" ref="O25:O45" si="11">M25-K25</f>
        <v>1.4116511395059206E-2</v>
      </c>
    </row>
    <row r="26" spans="1:15" ht="15.6" customHeight="1" x14ac:dyDescent="0.3">
      <c r="A26" s="3">
        <v>2</v>
      </c>
      <c r="B26" s="3">
        <v>200</v>
      </c>
      <c r="C26" s="3">
        <v>4000</v>
      </c>
      <c r="D26" s="4">
        <v>0.1</v>
      </c>
      <c r="E26" s="3">
        <v>10</v>
      </c>
      <c r="F26" s="3">
        <v>0</v>
      </c>
      <c r="G26" s="4">
        <v>175.63</v>
      </c>
      <c r="H26" s="4">
        <v>18.940000000000001</v>
      </c>
      <c r="I26" s="2">
        <v>1</v>
      </c>
      <c r="J26" s="4">
        <f t="shared" si="6"/>
        <v>0.29946769441794557</v>
      </c>
      <c r="K26" s="5">
        <f t="shared" si="7"/>
        <v>5.335525490547762</v>
      </c>
      <c r="L26" s="5">
        <f t="shared" si="8"/>
        <v>5.3210355380653604</v>
      </c>
      <c r="M26" s="5">
        <f t="shared" si="9"/>
        <v>5.3500639496972058</v>
      </c>
      <c r="N26" s="5">
        <f t="shared" si="10"/>
        <v>1.4489952482401591E-2</v>
      </c>
      <c r="O26" s="5">
        <f t="shared" si="11"/>
        <v>1.4538459149443739E-2</v>
      </c>
    </row>
    <row r="27" spans="1:15" ht="15.6" customHeight="1" x14ac:dyDescent="0.3">
      <c r="A27" s="3">
        <v>2</v>
      </c>
      <c r="B27" s="3">
        <v>200</v>
      </c>
      <c r="C27" s="3">
        <v>4000</v>
      </c>
      <c r="D27" s="4">
        <v>0.1</v>
      </c>
      <c r="E27" s="3">
        <v>10</v>
      </c>
      <c r="F27" s="4">
        <v>0</v>
      </c>
      <c r="G27" s="4">
        <v>175.52</v>
      </c>
      <c r="H27" s="4">
        <v>18.260000000000002</v>
      </c>
      <c r="I27" s="4">
        <v>2</v>
      </c>
      <c r="J27" s="4">
        <f t="shared" si="6"/>
        <v>0.28871595037337305</v>
      </c>
      <c r="K27" s="5">
        <f t="shared" si="7"/>
        <v>5.3382464015300766</v>
      </c>
      <c r="L27" s="5">
        <f t="shared" si="8"/>
        <v>5.324267102417175</v>
      </c>
      <c r="M27" s="5">
        <f t="shared" si="9"/>
        <v>5.3522708432925592</v>
      </c>
      <c r="N27" s="5">
        <f t="shared" si="10"/>
        <v>1.3979299112901522E-2</v>
      </c>
      <c r="O27" s="5">
        <f t="shared" si="11"/>
        <v>1.4024441762482631E-2</v>
      </c>
    </row>
    <row r="28" spans="1:15" ht="15.6" customHeight="1" x14ac:dyDescent="0.3">
      <c r="A28" s="3">
        <v>2</v>
      </c>
      <c r="B28" s="3">
        <v>200</v>
      </c>
      <c r="C28" s="3">
        <v>4000</v>
      </c>
      <c r="D28" s="4">
        <v>0.1</v>
      </c>
      <c r="E28" s="3">
        <v>10</v>
      </c>
      <c r="F28" s="4">
        <v>0</v>
      </c>
      <c r="G28" s="4">
        <v>176.04</v>
      </c>
      <c r="H28" s="4">
        <v>18.829999999999998</v>
      </c>
      <c r="I28" s="2">
        <v>3</v>
      </c>
      <c r="J28" s="4">
        <f t="shared" si="6"/>
        <v>0.29772844170485291</v>
      </c>
      <c r="K28" s="5">
        <f t="shared" si="7"/>
        <v>5.3253989049273613</v>
      </c>
      <c r="L28" s="5">
        <f t="shared" si="8"/>
        <v>5.3110264641792018</v>
      </c>
      <c r="M28" s="5">
        <f t="shared" si="9"/>
        <v>5.3398190674703274</v>
      </c>
      <c r="N28" s="5">
        <f t="shared" si="10"/>
        <v>1.4372440748159576E-2</v>
      </c>
      <c r="O28" s="5">
        <f t="shared" si="11"/>
        <v>1.4420162542966075E-2</v>
      </c>
    </row>
    <row r="29" spans="1:15" ht="15.6" customHeight="1" x14ac:dyDescent="0.3">
      <c r="A29" s="3">
        <v>2</v>
      </c>
      <c r="B29" s="3">
        <v>200</v>
      </c>
      <c r="C29" s="3">
        <v>4000</v>
      </c>
      <c r="D29" s="4">
        <v>0.1</v>
      </c>
      <c r="E29" s="3">
        <v>10</v>
      </c>
      <c r="F29" s="4">
        <v>0</v>
      </c>
      <c r="G29" s="4">
        <v>175.96</v>
      </c>
      <c r="H29" s="4">
        <v>19.16</v>
      </c>
      <c r="I29" s="4">
        <v>4</v>
      </c>
      <c r="J29" s="4">
        <f t="shared" si="6"/>
        <v>0.30294619984413074</v>
      </c>
      <c r="K29" s="5">
        <f t="shared" si="7"/>
        <v>5.3273729707881827</v>
      </c>
      <c r="L29" s="5">
        <f t="shared" si="8"/>
        <v>5.3127424358252</v>
      </c>
      <c r="M29" s="5">
        <f t="shared" si="9"/>
        <v>5.3420529598210562</v>
      </c>
      <c r="N29" s="5">
        <f t="shared" si="10"/>
        <v>1.4630534962982722E-2</v>
      </c>
      <c r="O29" s="5">
        <f t="shared" si="11"/>
        <v>1.4679989032873486E-2</v>
      </c>
    </row>
    <row r="30" spans="1:15" ht="15.6" customHeight="1" x14ac:dyDescent="0.3">
      <c r="A30" s="3">
        <v>2</v>
      </c>
      <c r="B30" s="3">
        <v>200</v>
      </c>
      <c r="C30" s="3">
        <v>4000</v>
      </c>
      <c r="D30" s="4">
        <v>0.1</v>
      </c>
      <c r="E30" s="3">
        <v>10</v>
      </c>
      <c r="F30" s="4">
        <v>0</v>
      </c>
      <c r="G30" s="4">
        <v>175.42</v>
      </c>
      <c r="H30" s="4">
        <v>18.690000000000001</v>
      </c>
      <c r="I30" s="2">
        <v>5</v>
      </c>
      <c r="J30" s="4">
        <f t="shared" si="6"/>
        <v>0.29551484734273509</v>
      </c>
      <c r="K30" s="5">
        <f t="shared" si="7"/>
        <v>5.3407214371125562</v>
      </c>
      <c r="L30" s="5">
        <f t="shared" si="8"/>
        <v>5.3264053418275328</v>
      </c>
      <c r="M30" s="5">
        <f t="shared" si="9"/>
        <v>5.3550848801338056</v>
      </c>
      <c r="N30" s="5">
        <f t="shared" si="10"/>
        <v>1.4316095285023422E-2</v>
      </c>
      <c r="O30" s="5">
        <f t="shared" si="11"/>
        <v>1.4363443021249367E-2</v>
      </c>
    </row>
    <row r="31" spans="1:15" ht="15.6" customHeight="1" x14ac:dyDescent="0.3">
      <c r="A31" s="3">
        <v>2</v>
      </c>
      <c r="B31" s="3">
        <v>200</v>
      </c>
      <c r="C31" s="3">
        <v>4000</v>
      </c>
      <c r="D31" s="4">
        <v>0.1</v>
      </c>
      <c r="E31" s="3">
        <v>10</v>
      </c>
      <c r="F31" s="4">
        <v>0</v>
      </c>
      <c r="G31" s="4">
        <v>175</v>
      </c>
      <c r="H31" s="4">
        <v>18.77</v>
      </c>
      <c r="I31" s="4">
        <v>6</v>
      </c>
      <c r="J31" s="4">
        <f t="shared" si="6"/>
        <v>0.29677975840680237</v>
      </c>
      <c r="K31" s="5">
        <f t="shared" si="7"/>
        <v>5.3511320169734926</v>
      </c>
      <c r="L31" s="5">
        <f t="shared" si="8"/>
        <v>5.3367202966463143</v>
      </c>
      <c r="M31" s="5">
        <f t="shared" si="9"/>
        <v>5.3655917207329127</v>
      </c>
      <c r="N31" s="5">
        <f t="shared" si="10"/>
        <v>1.4411720327178301E-2</v>
      </c>
      <c r="O31" s="5">
        <f t="shared" si="11"/>
        <v>1.4459703759420073E-2</v>
      </c>
    </row>
    <row r="32" spans="1:15" ht="15.6" customHeight="1" x14ac:dyDescent="0.3">
      <c r="A32" s="3">
        <v>2</v>
      </c>
      <c r="B32" s="3">
        <v>200</v>
      </c>
      <c r="C32" s="3">
        <v>4000</v>
      </c>
      <c r="D32" s="4">
        <v>0.1</v>
      </c>
      <c r="E32" s="3">
        <v>10</v>
      </c>
      <c r="F32" s="4">
        <v>0</v>
      </c>
      <c r="G32" s="4">
        <v>175.22</v>
      </c>
      <c r="H32" s="4">
        <v>18.96</v>
      </c>
      <c r="I32" s="2">
        <v>7</v>
      </c>
      <c r="J32" s="4">
        <f t="shared" si="6"/>
        <v>0.29978392218396238</v>
      </c>
      <c r="K32" s="5">
        <f t="shared" si="7"/>
        <v>5.3456757438545255</v>
      </c>
      <c r="L32" s="5">
        <f t="shared" si="8"/>
        <v>5.3311366317374631</v>
      </c>
      <c r="M32" s="5">
        <f t="shared" si="9"/>
        <v>5.360263692886198</v>
      </c>
      <c r="N32" s="5">
        <f t="shared" si="10"/>
        <v>1.453911211706238E-2</v>
      </c>
      <c r="O32" s="5">
        <f t="shared" si="11"/>
        <v>1.4587949031672487E-2</v>
      </c>
    </row>
    <row r="33" spans="1:15" ht="15.6" customHeight="1" x14ac:dyDescent="0.3">
      <c r="A33" s="3">
        <v>2</v>
      </c>
      <c r="B33" s="3">
        <v>200</v>
      </c>
      <c r="C33" s="3">
        <v>4000</v>
      </c>
      <c r="D33" s="4">
        <v>0.1</v>
      </c>
      <c r="E33" s="3">
        <v>10</v>
      </c>
      <c r="F33" s="3">
        <v>0</v>
      </c>
      <c r="G33" s="4">
        <v>176.15</v>
      </c>
      <c r="H33" s="4">
        <v>19.11</v>
      </c>
      <c r="I33" s="4">
        <v>8</v>
      </c>
      <c r="J33" s="4">
        <f t="shared" si="6"/>
        <v>0.30215563042908866</v>
      </c>
      <c r="K33" s="5">
        <f t="shared" si="7"/>
        <v>5.3226860286638233</v>
      </c>
      <c r="L33" s="5">
        <f t="shared" si="8"/>
        <v>5.3081093229030243</v>
      </c>
      <c r="M33" s="5">
        <f t="shared" si="9"/>
        <v>5.3373118246466404</v>
      </c>
      <c r="N33" s="5">
        <f t="shared" si="10"/>
        <v>1.4576705760799058E-2</v>
      </c>
      <c r="O33" s="5">
        <f t="shared" si="11"/>
        <v>1.4625795982817102E-2</v>
      </c>
    </row>
    <row r="34" spans="1:15" ht="15.6" customHeight="1" x14ac:dyDescent="0.3">
      <c r="A34" s="3">
        <v>2</v>
      </c>
      <c r="B34" s="3">
        <v>200</v>
      </c>
      <c r="C34" s="3">
        <v>4000</v>
      </c>
      <c r="D34" s="4">
        <v>0.1</v>
      </c>
      <c r="E34" s="3">
        <v>10</v>
      </c>
      <c r="F34" s="4">
        <v>0</v>
      </c>
      <c r="G34" s="4">
        <v>176.61</v>
      </c>
      <c r="H34" s="4">
        <v>19.149999999999999</v>
      </c>
      <c r="I34" s="2">
        <v>9</v>
      </c>
      <c r="J34" s="4">
        <f t="shared" si="6"/>
        <v>0.30278808596112233</v>
      </c>
      <c r="K34" s="5">
        <f t="shared" si="7"/>
        <v>5.3113595985181217</v>
      </c>
      <c r="L34" s="5">
        <f t="shared" si="8"/>
        <v>5.2967904150637821</v>
      </c>
      <c r="M34" s="5">
        <f t="shared" si="9"/>
        <v>5.3259778214562772</v>
      </c>
      <c r="N34" s="5">
        <f t="shared" si="10"/>
        <v>1.4569183454339552E-2</v>
      </c>
      <c r="O34" s="5">
        <f t="shared" si="11"/>
        <v>1.4618222938155512E-2</v>
      </c>
    </row>
    <row r="35" spans="1:15" ht="15.6" customHeight="1" x14ac:dyDescent="0.3">
      <c r="A35" s="3">
        <v>2</v>
      </c>
      <c r="B35" s="3">
        <v>200</v>
      </c>
      <c r="C35" s="3">
        <v>4000</v>
      </c>
      <c r="D35" s="4">
        <v>0.1</v>
      </c>
      <c r="E35" s="3">
        <v>10</v>
      </c>
      <c r="F35" s="3">
        <v>0</v>
      </c>
      <c r="G35" s="4">
        <v>176.58</v>
      </c>
      <c r="H35" s="4">
        <v>18.79</v>
      </c>
      <c r="I35" s="4">
        <v>10</v>
      </c>
      <c r="J35" s="4">
        <f t="shared" si="6"/>
        <v>0.29709598617281924</v>
      </c>
      <c r="K35" s="5">
        <f t="shared" si="7"/>
        <v>5.312097379003891</v>
      </c>
      <c r="L35" s="5">
        <f t="shared" si="8"/>
        <v>5.2977992059271344</v>
      </c>
      <c r="M35" s="5">
        <f t="shared" si="9"/>
        <v>5.3264427811468966</v>
      </c>
      <c r="N35" s="5">
        <f t="shared" si="10"/>
        <v>1.4298173076756626E-2</v>
      </c>
      <c r="O35" s="5">
        <f t="shared" si="11"/>
        <v>1.4345402143005614E-2</v>
      </c>
    </row>
    <row r="36" spans="1:15" ht="15.6" customHeight="1" x14ac:dyDescent="0.3">
      <c r="A36" s="3"/>
      <c r="B36" s="3"/>
      <c r="C36" s="3"/>
      <c r="D36" s="4"/>
      <c r="E36" s="3"/>
      <c r="F36" s="3"/>
      <c r="G36" s="4"/>
      <c r="H36" s="4"/>
      <c r="I36" s="4"/>
      <c r="J36" s="4" t="e">
        <f t="shared" si="6"/>
        <v>#DIV/0!</v>
      </c>
      <c r="K36" s="5" t="e">
        <f t="shared" si="7"/>
        <v>#DIV/0!</v>
      </c>
      <c r="L36" s="5" t="e">
        <f t="shared" si="8"/>
        <v>#DIV/0!</v>
      </c>
      <c r="M36" s="5" t="e">
        <f t="shared" si="9"/>
        <v>#DIV/0!</v>
      </c>
      <c r="N36" s="5" t="e">
        <f t="shared" si="10"/>
        <v>#DIV/0!</v>
      </c>
      <c r="O36" s="5" t="e">
        <f t="shared" si="11"/>
        <v>#DIV/0!</v>
      </c>
    </row>
    <row r="37" spans="1:15" ht="15.6" customHeight="1" x14ac:dyDescent="0.3">
      <c r="A37" s="3"/>
      <c r="B37" s="3"/>
      <c r="C37" s="3"/>
      <c r="D37" s="4"/>
      <c r="E37" s="3"/>
      <c r="F37" s="4"/>
      <c r="G37" s="4"/>
      <c r="H37" s="4"/>
      <c r="I37" s="4"/>
      <c r="J37" s="4" t="e">
        <f t="shared" si="6"/>
        <v>#DIV/0!</v>
      </c>
      <c r="K37" s="5" t="e">
        <f t="shared" si="7"/>
        <v>#DIV/0!</v>
      </c>
      <c r="L37" s="5" t="e">
        <f t="shared" si="8"/>
        <v>#DIV/0!</v>
      </c>
      <c r="M37" s="5" t="e">
        <f t="shared" si="9"/>
        <v>#DIV/0!</v>
      </c>
      <c r="N37" s="5" t="e">
        <f t="shared" si="10"/>
        <v>#DIV/0!</v>
      </c>
      <c r="O37" s="5" t="e">
        <f t="shared" si="11"/>
        <v>#DIV/0!</v>
      </c>
    </row>
    <row r="38" spans="1:15" ht="15.6" customHeight="1" x14ac:dyDescent="0.3">
      <c r="A38" s="3"/>
      <c r="B38" s="3"/>
      <c r="C38" s="3"/>
      <c r="D38" s="4"/>
      <c r="E38" s="3"/>
      <c r="F38" s="4"/>
      <c r="G38" s="4"/>
      <c r="H38" s="4"/>
      <c r="I38" s="4"/>
      <c r="J38" s="4" t="e">
        <f t="shared" si="6"/>
        <v>#DIV/0!</v>
      </c>
      <c r="K38" s="5" t="e">
        <f t="shared" si="7"/>
        <v>#DIV/0!</v>
      </c>
      <c r="L38" s="5" t="e">
        <f t="shared" si="8"/>
        <v>#DIV/0!</v>
      </c>
      <c r="M38" s="5" t="e">
        <f t="shared" si="9"/>
        <v>#DIV/0!</v>
      </c>
      <c r="N38" s="5" t="e">
        <f t="shared" si="10"/>
        <v>#DIV/0!</v>
      </c>
      <c r="O38" s="5" t="e">
        <f t="shared" si="11"/>
        <v>#DIV/0!</v>
      </c>
    </row>
    <row r="39" spans="1:15" ht="15.6" customHeight="1" x14ac:dyDescent="0.3">
      <c r="A39" s="3"/>
      <c r="B39" s="3"/>
      <c r="C39" s="3"/>
      <c r="D39" s="4"/>
      <c r="E39" s="3"/>
      <c r="F39" s="4"/>
      <c r="G39" s="4"/>
      <c r="H39" s="4"/>
      <c r="I39" s="4"/>
      <c r="J39" s="4" t="e">
        <f t="shared" si="6"/>
        <v>#DIV/0!</v>
      </c>
      <c r="K39" s="5" t="e">
        <f t="shared" si="7"/>
        <v>#DIV/0!</v>
      </c>
      <c r="L39" s="5" t="e">
        <f t="shared" si="8"/>
        <v>#DIV/0!</v>
      </c>
      <c r="M39" s="5" t="e">
        <f t="shared" si="9"/>
        <v>#DIV/0!</v>
      </c>
      <c r="N39" s="5" t="e">
        <f t="shared" si="10"/>
        <v>#DIV/0!</v>
      </c>
      <c r="O39" s="5" t="e">
        <f t="shared" si="11"/>
        <v>#DIV/0!</v>
      </c>
    </row>
    <row r="40" spans="1:15" ht="15.6" customHeight="1" x14ac:dyDescent="0.3">
      <c r="A40" s="3"/>
      <c r="B40" s="3"/>
      <c r="C40" s="3"/>
      <c r="D40" s="4"/>
      <c r="E40" s="3"/>
      <c r="F40" s="4"/>
      <c r="G40" s="4"/>
      <c r="H40" s="4"/>
      <c r="I40" s="4"/>
      <c r="J40" s="4" t="e">
        <f t="shared" si="6"/>
        <v>#DIV/0!</v>
      </c>
      <c r="K40" s="5" t="e">
        <f t="shared" si="7"/>
        <v>#DIV/0!</v>
      </c>
      <c r="L40" s="5" t="e">
        <f t="shared" si="8"/>
        <v>#DIV/0!</v>
      </c>
      <c r="M40" s="5" t="e">
        <f t="shared" si="9"/>
        <v>#DIV/0!</v>
      </c>
      <c r="N40" s="5" t="e">
        <f t="shared" si="10"/>
        <v>#DIV/0!</v>
      </c>
      <c r="O40" s="5" t="e">
        <f t="shared" si="11"/>
        <v>#DIV/0!</v>
      </c>
    </row>
    <row r="41" spans="1:15" ht="15.6" customHeight="1" x14ac:dyDescent="0.3">
      <c r="A41" s="3"/>
      <c r="B41" s="3"/>
      <c r="C41" s="3"/>
      <c r="D41" s="4"/>
      <c r="E41" s="3"/>
      <c r="F41" s="4"/>
      <c r="G41" s="4"/>
      <c r="H41" s="4"/>
      <c r="I41" s="4"/>
      <c r="J41" s="4" t="e">
        <f t="shared" si="6"/>
        <v>#DIV/0!</v>
      </c>
      <c r="K41" s="5" t="e">
        <f t="shared" si="7"/>
        <v>#DIV/0!</v>
      </c>
      <c r="L41" s="5" t="e">
        <f t="shared" si="8"/>
        <v>#DIV/0!</v>
      </c>
      <c r="M41" s="5" t="e">
        <f t="shared" si="9"/>
        <v>#DIV/0!</v>
      </c>
      <c r="N41" s="5" t="e">
        <f t="shared" si="10"/>
        <v>#DIV/0!</v>
      </c>
      <c r="O41" s="5" t="e">
        <f t="shared" si="11"/>
        <v>#DIV/0!</v>
      </c>
    </row>
    <row r="42" spans="1:15" ht="15.6" customHeight="1" x14ac:dyDescent="0.3">
      <c r="A42" s="3"/>
      <c r="B42" s="3"/>
      <c r="C42" s="3"/>
      <c r="D42" s="4"/>
      <c r="E42" s="3"/>
      <c r="F42" s="4"/>
      <c r="G42" s="4"/>
      <c r="H42" s="4"/>
      <c r="I42" s="4"/>
      <c r="J42" s="4" t="e">
        <f t="shared" si="6"/>
        <v>#DIV/0!</v>
      </c>
      <c r="K42" s="5" t="e">
        <f t="shared" si="7"/>
        <v>#DIV/0!</v>
      </c>
      <c r="L42" s="5" t="e">
        <f t="shared" si="8"/>
        <v>#DIV/0!</v>
      </c>
      <c r="M42" s="5" t="e">
        <f t="shared" si="9"/>
        <v>#DIV/0!</v>
      </c>
      <c r="N42" s="5" t="e">
        <f t="shared" si="10"/>
        <v>#DIV/0!</v>
      </c>
      <c r="O42" s="5" t="e">
        <f t="shared" si="11"/>
        <v>#DIV/0!</v>
      </c>
    </row>
    <row r="43" spans="1:15" ht="15.6" customHeight="1" x14ac:dyDescent="0.3">
      <c r="A43" s="3"/>
      <c r="B43" s="3"/>
      <c r="C43" s="3"/>
      <c r="D43" s="4"/>
      <c r="E43" s="3"/>
      <c r="F43" s="4"/>
      <c r="G43" s="4"/>
      <c r="H43" s="4"/>
      <c r="I43" s="4"/>
      <c r="J43" s="4" t="e">
        <f t="shared" si="6"/>
        <v>#DIV/0!</v>
      </c>
      <c r="K43" s="5" t="e">
        <f t="shared" si="7"/>
        <v>#DIV/0!</v>
      </c>
      <c r="L43" s="5" t="e">
        <f t="shared" si="8"/>
        <v>#DIV/0!</v>
      </c>
      <c r="M43" s="5" t="e">
        <f t="shared" si="9"/>
        <v>#DIV/0!</v>
      </c>
      <c r="N43" s="5" t="e">
        <f t="shared" si="10"/>
        <v>#DIV/0!</v>
      </c>
      <c r="O43" s="5" t="e">
        <f t="shared" si="11"/>
        <v>#DIV/0!</v>
      </c>
    </row>
    <row r="44" spans="1:15" ht="15.6" customHeight="1" x14ac:dyDescent="0.3">
      <c r="A44" s="3"/>
      <c r="B44" s="3"/>
      <c r="C44" s="3"/>
      <c r="D44" s="4"/>
      <c r="E44" s="3"/>
      <c r="F44" s="4"/>
      <c r="G44" s="4"/>
      <c r="H44" s="4"/>
      <c r="I44" s="4"/>
      <c r="J44" s="4" t="e">
        <f t="shared" si="6"/>
        <v>#DIV/0!</v>
      </c>
      <c r="K44" s="5" t="e">
        <f t="shared" si="7"/>
        <v>#DIV/0!</v>
      </c>
      <c r="L44" s="5" t="e">
        <f t="shared" si="8"/>
        <v>#DIV/0!</v>
      </c>
      <c r="M44" s="5" t="e">
        <f t="shared" si="9"/>
        <v>#DIV/0!</v>
      </c>
      <c r="N44" s="5" t="e">
        <f t="shared" si="10"/>
        <v>#DIV/0!</v>
      </c>
      <c r="O44" s="5" t="e">
        <f t="shared" si="11"/>
        <v>#DIV/0!</v>
      </c>
    </row>
    <row r="45" spans="1:15" ht="15.6" customHeight="1" x14ac:dyDescent="0.3">
      <c r="A45" s="3"/>
      <c r="B45" s="3"/>
      <c r="C45" s="3"/>
      <c r="D45" s="4"/>
      <c r="E45" s="3"/>
      <c r="F45" s="4"/>
      <c r="G45" s="4"/>
      <c r="H45" s="4"/>
      <c r="I45" s="4"/>
      <c r="J45" s="4" t="e">
        <f t="shared" si="6"/>
        <v>#DIV/0!</v>
      </c>
      <c r="K45" s="5" t="e">
        <f t="shared" si="7"/>
        <v>#DIV/0!</v>
      </c>
      <c r="L45" s="5" t="e">
        <f t="shared" si="8"/>
        <v>#DIV/0!</v>
      </c>
      <c r="M45" s="5" t="e">
        <f t="shared" si="9"/>
        <v>#DIV/0!</v>
      </c>
      <c r="N45" s="5" t="e">
        <f t="shared" si="10"/>
        <v>#DIV/0!</v>
      </c>
      <c r="O45" s="5" t="e">
        <f t="shared" si="11"/>
        <v>#DIV/0!</v>
      </c>
    </row>
    <row r="46" spans="1:15" ht="15.6" customHeight="1" x14ac:dyDescent="0.3">
      <c r="A46" s="13" t="s">
        <v>16</v>
      </c>
      <c r="B46" s="7"/>
      <c r="C46" s="7"/>
      <c r="D46" s="8"/>
      <c r="E46" s="7"/>
      <c r="F46" s="8"/>
      <c r="G46" s="8"/>
      <c r="H46" s="8"/>
      <c r="I46" s="8"/>
      <c r="J46" s="9"/>
      <c r="K46" s="10"/>
      <c r="L46" s="10"/>
      <c r="M46" s="10"/>
      <c r="N46" s="10"/>
      <c r="O46" s="10"/>
    </row>
    <row r="47" spans="1:15" ht="15.6" customHeight="1" x14ac:dyDescent="0.3">
      <c r="A47" s="1">
        <v>3</v>
      </c>
      <c r="B47" s="1">
        <v>200</v>
      </c>
      <c r="C47" s="1">
        <v>4000</v>
      </c>
      <c r="D47" s="2">
        <v>0.1</v>
      </c>
      <c r="E47" s="1">
        <v>10</v>
      </c>
      <c r="F47" s="2">
        <v>0</v>
      </c>
      <c r="G47" s="2">
        <v>190.96</v>
      </c>
      <c r="H47" s="2">
        <v>21.47</v>
      </c>
      <c r="I47" s="2">
        <v>0</v>
      </c>
      <c r="J47" s="4">
        <f t="shared" ref="J47:J67" si="12">H47/SQRT(C47)</f>
        <v>0.33947050681907553</v>
      </c>
      <c r="K47" s="5">
        <f t="shared" ref="K47:K67" si="13">-10*LOG10(G47/(B47*3))</f>
        <v>4.9720884438494544</v>
      </c>
      <c r="L47" s="5">
        <f t="shared" ref="L47:L67" si="14">-10*LOG10((G47+1.96*J47)/(B47*3))</f>
        <v>4.9569826165529527</v>
      </c>
      <c r="M47" s="5">
        <f t="shared" ref="M47:M67" si="15">-10*LOG10((G47-1.96*J47)/(B47*3))</f>
        <v>4.9872469963629564</v>
      </c>
      <c r="N47" s="5">
        <f t="shared" ref="N47:N67" si="16">K47-L47</f>
        <v>1.5105827296501673E-2</v>
      </c>
      <c r="O47" s="5">
        <f t="shared" ref="O47:O67" si="17">M47-K47</f>
        <v>1.5158552513502066E-2</v>
      </c>
    </row>
    <row r="48" spans="1:15" ht="15.6" customHeight="1" x14ac:dyDescent="0.3">
      <c r="A48" s="1">
        <v>3</v>
      </c>
      <c r="B48" s="1">
        <v>200</v>
      </c>
      <c r="C48" s="1">
        <v>4000</v>
      </c>
      <c r="D48" s="2">
        <v>0.1</v>
      </c>
      <c r="E48" s="1">
        <v>10</v>
      </c>
      <c r="F48" s="2">
        <v>0</v>
      </c>
      <c r="G48" s="2">
        <v>189.98</v>
      </c>
      <c r="H48" s="2">
        <v>21.61</v>
      </c>
      <c r="I48" s="2">
        <v>1</v>
      </c>
      <c r="J48" s="4">
        <f t="shared" si="12"/>
        <v>0.34168410118119341</v>
      </c>
      <c r="K48" s="5">
        <f t="shared" si="13"/>
        <v>4.9944336704566856</v>
      </c>
      <c r="L48" s="5">
        <f t="shared" si="14"/>
        <v>4.9791512225504979</v>
      </c>
      <c r="M48" s="5">
        <f t="shared" si="15"/>
        <v>5.0097700859409064</v>
      </c>
      <c r="N48" s="5">
        <f t="shared" si="16"/>
        <v>1.5282447906187713E-2</v>
      </c>
      <c r="O48" s="5">
        <f t="shared" si="17"/>
        <v>1.5336415484220822E-2</v>
      </c>
    </row>
    <row r="49" spans="1:15" ht="15.6" customHeight="1" x14ac:dyDescent="0.3">
      <c r="A49" s="1">
        <v>3</v>
      </c>
      <c r="B49" s="1">
        <v>200</v>
      </c>
      <c r="C49" s="1">
        <v>4000</v>
      </c>
      <c r="D49" s="2">
        <v>0.1</v>
      </c>
      <c r="E49" s="1">
        <v>10</v>
      </c>
      <c r="F49" s="2">
        <v>0</v>
      </c>
      <c r="G49" s="2">
        <v>189.53</v>
      </c>
      <c r="H49" s="2">
        <v>21.32</v>
      </c>
      <c r="I49" s="4">
        <v>2</v>
      </c>
      <c r="J49" s="4">
        <f t="shared" si="12"/>
        <v>0.33709879857394925</v>
      </c>
      <c r="K49" s="5">
        <f t="shared" si="13"/>
        <v>5.0047328777739004</v>
      </c>
      <c r="L49" s="5">
        <f t="shared" si="14"/>
        <v>4.989619423621745</v>
      </c>
      <c r="M49" s="5">
        <f t="shared" si="15"/>
        <v>5.0198991104909503</v>
      </c>
      <c r="N49" s="5">
        <f t="shared" si="16"/>
        <v>1.511345415215537E-2</v>
      </c>
      <c r="O49" s="5">
        <f t="shared" si="17"/>
        <v>1.5166232717049866E-2</v>
      </c>
    </row>
    <row r="50" spans="1:15" ht="15.6" customHeight="1" x14ac:dyDescent="0.3">
      <c r="A50" s="1">
        <v>3</v>
      </c>
      <c r="B50" s="1">
        <v>200</v>
      </c>
      <c r="C50" s="1">
        <v>4000</v>
      </c>
      <c r="D50" s="2">
        <v>0.1</v>
      </c>
      <c r="E50" s="1">
        <v>10</v>
      </c>
      <c r="F50" s="2">
        <v>0</v>
      </c>
      <c r="G50" s="2">
        <v>189.68</v>
      </c>
      <c r="H50" s="2">
        <v>22.07</v>
      </c>
      <c r="I50" s="2">
        <v>3</v>
      </c>
      <c r="J50" s="4">
        <f t="shared" si="12"/>
        <v>0.34895733979958066</v>
      </c>
      <c r="K50" s="5">
        <f t="shared" si="13"/>
        <v>5.0012970941351185</v>
      </c>
      <c r="L50" s="5">
        <f t="shared" si="14"/>
        <v>4.9856652810250175</v>
      </c>
      <c r="M50" s="5">
        <f t="shared" si="15"/>
        <v>5.0169853750455609</v>
      </c>
      <c r="N50" s="5">
        <f t="shared" si="16"/>
        <v>1.5631813110100978E-2</v>
      </c>
      <c r="O50" s="5">
        <f t="shared" si="17"/>
        <v>1.5688280910442387E-2</v>
      </c>
    </row>
    <row r="51" spans="1:15" ht="15.6" customHeight="1" x14ac:dyDescent="0.3">
      <c r="A51" s="1">
        <v>3</v>
      </c>
      <c r="B51" s="1">
        <v>200</v>
      </c>
      <c r="C51" s="1">
        <v>4000</v>
      </c>
      <c r="D51" s="2">
        <v>0.1</v>
      </c>
      <c r="E51" s="1">
        <v>10</v>
      </c>
      <c r="F51" s="2">
        <v>0</v>
      </c>
      <c r="G51" s="2">
        <v>188.75</v>
      </c>
      <c r="H51" s="2">
        <v>21.73</v>
      </c>
      <c r="I51" s="4">
        <v>4</v>
      </c>
      <c r="J51" s="4">
        <f t="shared" si="12"/>
        <v>0.34358146777729442</v>
      </c>
      <c r="K51" s="5">
        <f t="shared" si="13"/>
        <v>5.0226429008241782</v>
      </c>
      <c r="L51" s="5">
        <f t="shared" si="14"/>
        <v>5.0071757768239342</v>
      </c>
      <c r="M51" s="5">
        <f t="shared" si="15"/>
        <v>5.0381653069532657</v>
      </c>
      <c r="N51" s="5">
        <f t="shared" si="16"/>
        <v>1.546712400024397E-2</v>
      </c>
      <c r="O51" s="5">
        <f t="shared" si="17"/>
        <v>1.5522406129087507E-2</v>
      </c>
    </row>
    <row r="52" spans="1:15" ht="15.6" customHeight="1" x14ac:dyDescent="0.3">
      <c r="A52" s="1">
        <v>3</v>
      </c>
      <c r="B52" s="1">
        <v>200</v>
      </c>
      <c r="C52" s="1">
        <v>4000</v>
      </c>
      <c r="D52" s="2">
        <v>0.1</v>
      </c>
      <c r="E52" s="1">
        <v>10</v>
      </c>
      <c r="F52" s="2">
        <v>0</v>
      </c>
      <c r="G52" s="2">
        <v>188.15</v>
      </c>
      <c r="H52" s="2">
        <v>21.37</v>
      </c>
      <c r="I52" s="2">
        <v>5</v>
      </c>
      <c r="J52" s="4">
        <f t="shared" si="12"/>
        <v>0.33788936798899133</v>
      </c>
      <c r="K52" s="5">
        <f t="shared" si="13"/>
        <v>5.0364702772776049</v>
      </c>
      <c r="L52" s="5">
        <f t="shared" si="14"/>
        <v>5.0212105252801216</v>
      </c>
      <c r="M52" s="5">
        <f t="shared" si="15"/>
        <v>5.0517838363956802</v>
      </c>
      <c r="N52" s="5">
        <f t="shared" si="16"/>
        <v>1.5259751997483306E-2</v>
      </c>
      <c r="O52" s="5">
        <f t="shared" si="17"/>
        <v>1.5313559118075304E-2</v>
      </c>
    </row>
    <row r="53" spans="1:15" ht="15.6" customHeight="1" x14ac:dyDescent="0.3">
      <c r="A53" s="1">
        <v>3</v>
      </c>
      <c r="B53" s="1">
        <v>200</v>
      </c>
      <c r="C53" s="1">
        <v>4000</v>
      </c>
      <c r="D53" s="2">
        <v>0.1</v>
      </c>
      <c r="E53" s="1">
        <v>10</v>
      </c>
      <c r="F53" s="2">
        <v>0</v>
      </c>
      <c r="G53" s="2">
        <v>189.07</v>
      </c>
      <c r="H53" s="2">
        <v>21.94</v>
      </c>
      <c r="I53" s="4">
        <v>6</v>
      </c>
      <c r="J53" s="4">
        <f t="shared" si="12"/>
        <v>0.34690185932047124</v>
      </c>
      <c r="K53" s="5">
        <f t="shared" si="13"/>
        <v>5.0152862618193597</v>
      </c>
      <c r="L53" s="5">
        <f t="shared" si="14"/>
        <v>4.9996963142192845</v>
      </c>
      <c r="M53" s="5">
        <f t="shared" si="15"/>
        <v>5.0309323746141708</v>
      </c>
      <c r="N53" s="5">
        <f t="shared" si="16"/>
        <v>1.5589947600075149E-2</v>
      </c>
      <c r="O53" s="5">
        <f t="shared" si="17"/>
        <v>1.5646112794811096E-2</v>
      </c>
    </row>
    <row r="54" spans="1:15" ht="15.6" customHeight="1" x14ac:dyDescent="0.3">
      <c r="A54" s="1">
        <v>3</v>
      </c>
      <c r="B54" s="1">
        <v>200</v>
      </c>
      <c r="C54" s="1">
        <v>4000</v>
      </c>
      <c r="D54" s="2">
        <v>0.1</v>
      </c>
      <c r="E54" s="1">
        <v>10</v>
      </c>
      <c r="F54" s="2">
        <v>0</v>
      </c>
      <c r="G54" s="2">
        <v>188.32</v>
      </c>
      <c r="H54" s="2">
        <v>21.71</v>
      </c>
      <c r="I54" s="2">
        <v>7</v>
      </c>
      <c r="J54" s="4">
        <f t="shared" si="12"/>
        <v>0.34326524001127762</v>
      </c>
      <c r="K54" s="5">
        <f t="shared" si="13"/>
        <v>5.032548048842842</v>
      </c>
      <c r="L54" s="5">
        <f t="shared" si="14"/>
        <v>5.017059913749959</v>
      </c>
      <c r="M54" s="5">
        <f t="shared" si="15"/>
        <v>5.0480916166303169</v>
      </c>
      <c r="N54" s="5">
        <f t="shared" si="16"/>
        <v>1.5488135092883049E-2</v>
      </c>
      <c r="O54" s="5">
        <f t="shared" si="17"/>
        <v>1.5543567787474899E-2</v>
      </c>
    </row>
    <row r="55" spans="1:15" ht="15.6" customHeight="1" x14ac:dyDescent="0.3">
      <c r="A55" s="1">
        <v>3</v>
      </c>
      <c r="B55" s="1">
        <v>200</v>
      </c>
      <c r="C55" s="1">
        <v>4000</v>
      </c>
      <c r="D55" s="2">
        <v>0.1</v>
      </c>
      <c r="E55" s="1">
        <v>10</v>
      </c>
      <c r="F55" s="2">
        <v>0</v>
      </c>
      <c r="G55" s="2">
        <v>188.87</v>
      </c>
      <c r="H55" s="2">
        <v>21.73</v>
      </c>
      <c r="I55" s="4">
        <v>8</v>
      </c>
      <c r="J55" s="4">
        <f t="shared" si="12"/>
        <v>0.34358146777729442</v>
      </c>
      <c r="K55" s="5">
        <f t="shared" si="13"/>
        <v>5.0198827006450211</v>
      </c>
      <c r="L55" s="5">
        <f t="shared" si="14"/>
        <v>5.0044253863328256</v>
      </c>
      <c r="M55" s="5">
        <f t="shared" si="15"/>
        <v>5.0353952268600839</v>
      </c>
      <c r="N55" s="5">
        <f t="shared" si="16"/>
        <v>1.5457314312195436E-2</v>
      </c>
      <c r="O55" s="5">
        <f t="shared" si="17"/>
        <v>1.5512526215062827E-2</v>
      </c>
    </row>
    <row r="56" spans="1:15" ht="15.6" customHeight="1" x14ac:dyDescent="0.3">
      <c r="A56" s="1">
        <v>3</v>
      </c>
      <c r="B56" s="1">
        <v>200</v>
      </c>
      <c r="C56" s="1">
        <v>4000</v>
      </c>
      <c r="D56" s="2">
        <v>0.1</v>
      </c>
      <c r="E56" s="1">
        <v>10</v>
      </c>
      <c r="F56" s="2">
        <v>0</v>
      </c>
      <c r="G56" s="2">
        <v>189.11</v>
      </c>
      <c r="H56" s="2">
        <v>21.23</v>
      </c>
      <c r="I56" s="2">
        <v>9</v>
      </c>
      <c r="J56" s="4">
        <f t="shared" si="12"/>
        <v>0.33567577362687351</v>
      </c>
      <c r="K56" s="5">
        <f t="shared" si="13"/>
        <v>5.0143675575335198</v>
      </c>
      <c r="L56" s="5">
        <f t="shared" si="14"/>
        <v>4.9992844262314025</v>
      </c>
      <c r="M56" s="5">
        <f t="shared" si="15"/>
        <v>5.0295032554601207</v>
      </c>
      <c r="N56" s="5">
        <f t="shared" si="16"/>
        <v>1.5083131302117359E-2</v>
      </c>
      <c r="O56" s="5">
        <f t="shared" si="17"/>
        <v>1.5135697926600855E-2</v>
      </c>
    </row>
    <row r="57" spans="1:15" ht="15.6" customHeight="1" x14ac:dyDescent="0.3">
      <c r="A57" s="1">
        <v>3</v>
      </c>
      <c r="B57" s="1">
        <v>200</v>
      </c>
      <c r="C57" s="1">
        <v>4000</v>
      </c>
      <c r="D57" s="2">
        <v>0.1</v>
      </c>
      <c r="E57" s="1">
        <v>10</v>
      </c>
      <c r="F57" s="2">
        <v>0</v>
      </c>
      <c r="G57" s="2">
        <v>189.12</v>
      </c>
      <c r="H57" s="2">
        <v>21.38</v>
      </c>
      <c r="I57" s="4">
        <v>10</v>
      </c>
      <c r="J57" s="4">
        <f t="shared" si="12"/>
        <v>0.33804748187199973</v>
      </c>
      <c r="K57" s="5">
        <f t="shared" si="13"/>
        <v>5.0141379118248235</v>
      </c>
      <c r="L57" s="5">
        <f t="shared" si="14"/>
        <v>4.9989491989729649</v>
      </c>
      <c r="M57" s="5">
        <f t="shared" si="15"/>
        <v>5.0293799311082896</v>
      </c>
      <c r="N57" s="5">
        <f t="shared" si="16"/>
        <v>1.5188712851858632E-2</v>
      </c>
      <c r="O57" s="5">
        <f t="shared" si="17"/>
        <v>1.5242019283466135E-2</v>
      </c>
    </row>
    <row r="58" spans="1:15" ht="15.6" customHeight="1" x14ac:dyDescent="0.3">
      <c r="J58" s="4" t="e">
        <f t="shared" si="12"/>
        <v>#DIV/0!</v>
      </c>
      <c r="K58" s="5" t="e">
        <f t="shared" si="13"/>
        <v>#DIV/0!</v>
      </c>
      <c r="L58" s="5" t="e">
        <f t="shared" si="14"/>
        <v>#DIV/0!</v>
      </c>
      <c r="M58" s="5" t="e">
        <f t="shared" si="15"/>
        <v>#DIV/0!</v>
      </c>
      <c r="N58" s="5" t="e">
        <f t="shared" si="16"/>
        <v>#DIV/0!</v>
      </c>
      <c r="O58" s="5" t="e">
        <f t="shared" si="17"/>
        <v>#DIV/0!</v>
      </c>
    </row>
    <row r="59" spans="1:15" ht="15.6" customHeight="1" x14ac:dyDescent="0.3">
      <c r="J59" s="4" t="e">
        <f t="shared" si="12"/>
        <v>#DIV/0!</v>
      </c>
      <c r="K59" s="5" t="e">
        <f t="shared" si="13"/>
        <v>#DIV/0!</v>
      </c>
      <c r="L59" s="5" t="e">
        <f t="shared" si="14"/>
        <v>#DIV/0!</v>
      </c>
      <c r="M59" s="5" t="e">
        <f t="shared" si="15"/>
        <v>#DIV/0!</v>
      </c>
      <c r="N59" s="5" t="e">
        <f t="shared" si="16"/>
        <v>#DIV/0!</v>
      </c>
      <c r="O59" s="5" t="e">
        <f t="shared" si="17"/>
        <v>#DIV/0!</v>
      </c>
    </row>
    <row r="60" spans="1:15" ht="15.6" customHeight="1" x14ac:dyDescent="0.3">
      <c r="J60" s="4" t="e">
        <f t="shared" si="12"/>
        <v>#DIV/0!</v>
      </c>
      <c r="K60" s="5" t="e">
        <f t="shared" si="13"/>
        <v>#DIV/0!</v>
      </c>
      <c r="L60" s="5" t="e">
        <f t="shared" si="14"/>
        <v>#DIV/0!</v>
      </c>
      <c r="M60" s="5" t="e">
        <f t="shared" si="15"/>
        <v>#DIV/0!</v>
      </c>
      <c r="N60" s="5" t="e">
        <f t="shared" si="16"/>
        <v>#DIV/0!</v>
      </c>
      <c r="O60" s="5" t="e">
        <f t="shared" si="17"/>
        <v>#DIV/0!</v>
      </c>
    </row>
    <row r="61" spans="1:15" ht="15.6" customHeight="1" x14ac:dyDescent="0.3">
      <c r="J61" s="4" t="e">
        <f t="shared" si="12"/>
        <v>#DIV/0!</v>
      </c>
      <c r="K61" s="5" t="e">
        <f t="shared" si="13"/>
        <v>#DIV/0!</v>
      </c>
      <c r="L61" s="5" t="e">
        <f t="shared" si="14"/>
        <v>#DIV/0!</v>
      </c>
      <c r="M61" s="5" t="e">
        <f t="shared" si="15"/>
        <v>#DIV/0!</v>
      </c>
      <c r="N61" s="5" t="e">
        <f t="shared" si="16"/>
        <v>#DIV/0!</v>
      </c>
      <c r="O61" s="5" t="e">
        <f t="shared" si="17"/>
        <v>#DIV/0!</v>
      </c>
    </row>
    <row r="62" spans="1:15" ht="15.6" customHeight="1" x14ac:dyDescent="0.3">
      <c r="J62" s="4" t="e">
        <f t="shared" si="12"/>
        <v>#DIV/0!</v>
      </c>
      <c r="K62" s="5" t="e">
        <f t="shared" si="13"/>
        <v>#DIV/0!</v>
      </c>
      <c r="L62" s="5" t="e">
        <f t="shared" si="14"/>
        <v>#DIV/0!</v>
      </c>
      <c r="M62" s="5" t="e">
        <f t="shared" si="15"/>
        <v>#DIV/0!</v>
      </c>
      <c r="N62" s="5" t="e">
        <f t="shared" si="16"/>
        <v>#DIV/0!</v>
      </c>
      <c r="O62" s="5" t="e">
        <f t="shared" si="17"/>
        <v>#DIV/0!</v>
      </c>
    </row>
    <row r="63" spans="1:15" ht="15.6" customHeight="1" x14ac:dyDescent="0.3">
      <c r="J63" s="4" t="e">
        <f t="shared" si="12"/>
        <v>#DIV/0!</v>
      </c>
      <c r="K63" s="5" t="e">
        <f t="shared" si="13"/>
        <v>#DIV/0!</v>
      </c>
      <c r="L63" s="5" t="e">
        <f t="shared" si="14"/>
        <v>#DIV/0!</v>
      </c>
      <c r="M63" s="5" t="e">
        <f t="shared" si="15"/>
        <v>#DIV/0!</v>
      </c>
      <c r="N63" s="5" t="e">
        <f t="shared" si="16"/>
        <v>#DIV/0!</v>
      </c>
      <c r="O63" s="5" t="e">
        <f t="shared" si="17"/>
        <v>#DIV/0!</v>
      </c>
    </row>
    <row r="64" spans="1:15" ht="15.6" customHeight="1" x14ac:dyDescent="0.3">
      <c r="J64" s="4" t="e">
        <f t="shared" si="12"/>
        <v>#DIV/0!</v>
      </c>
      <c r="K64" s="5" t="e">
        <f t="shared" si="13"/>
        <v>#DIV/0!</v>
      </c>
      <c r="L64" s="5" t="e">
        <f t="shared" si="14"/>
        <v>#DIV/0!</v>
      </c>
      <c r="M64" s="5" t="e">
        <f t="shared" si="15"/>
        <v>#DIV/0!</v>
      </c>
      <c r="N64" s="5" t="e">
        <f t="shared" si="16"/>
        <v>#DIV/0!</v>
      </c>
      <c r="O64" s="5" t="e">
        <f t="shared" si="17"/>
        <v>#DIV/0!</v>
      </c>
    </row>
    <row r="65" spans="1:15" ht="15.6" customHeight="1" x14ac:dyDescent="0.3">
      <c r="J65" s="4" t="e">
        <f t="shared" si="12"/>
        <v>#DIV/0!</v>
      </c>
      <c r="K65" s="5" t="e">
        <f t="shared" si="13"/>
        <v>#DIV/0!</v>
      </c>
      <c r="L65" s="5" t="e">
        <f t="shared" si="14"/>
        <v>#DIV/0!</v>
      </c>
      <c r="M65" s="5" t="e">
        <f t="shared" si="15"/>
        <v>#DIV/0!</v>
      </c>
      <c r="N65" s="5" t="e">
        <f t="shared" si="16"/>
        <v>#DIV/0!</v>
      </c>
      <c r="O65" s="5" t="e">
        <f t="shared" si="17"/>
        <v>#DIV/0!</v>
      </c>
    </row>
    <row r="66" spans="1:15" ht="15.6" customHeight="1" x14ac:dyDescent="0.3">
      <c r="J66" s="4" t="e">
        <f t="shared" si="12"/>
        <v>#DIV/0!</v>
      </c>
      <c r="K66" s="5" t="e">
        <f t="shared" si="13"/>
        <v>#DIV/0!</v>
      </c>
      <c r="L66" s="5" t="e">
        <f t="shared" si="14"/>
        <v>#DIV/0!</v>
      </c>
      <c r="M66" s="5" t="e">
        <f t="shared" si="15"/>
        <v>#DIV/0!</v>
      </c>
      <c r="N66" s="5" t="e">
        <f t="shared" si="16"/>
        <v>#DIV/0!</v>
      </c>
      <c r="O66" s="5" t="e">
        <f t="shared" si="17"/>
        <v>#DIV/0!</v>
      </c>
    </row>
    <row r="67" spans="1:15" ht="15.6" customHeight="1" x14ac:dyDescent="0.3">
      <c r="J67" s="4" t="e">
        <f t="shared" si="12"/>
        <v>#DIV/0!</v>
      </c>
      <c r="K67" s="5" t="e">
        <f t="shared" si="13"/>
        <v>#DIV/0!</v>
      </c>
      <c r="L67" s="5" t="e">
        <f t="shared" si="14"/>
        <v>#DIV/0!</v>
      </c>
      <c r="M67" s="5" t="e">
        <f t="shared" si="15"/>
        <v>#DIV/0!</v>
      </c>
      <c r="N67" s="5" t="e">
        <f t="shared" si="16"/>
        <v>#DIV/0!</v>
      </c>
      <c r="O67" s="5" t="e">
        <f t="shared" si="17"/>
        <v>#DIV/0!</v>
      </c>
    </row>
    <row r="68" spans="1:15" ht="15.6" customHeight="1" x14ac:dyDescent="0.3">
      <c r="A68" s="13" t="s">
        <v>17</v>
      </c>
      <c r="B68" s="7"/>
      <c r="C68" s="7"/>
      <c r="D68" s="8"/>
      <c r="E68" s="7"/>
      <c r="F68" s="8"/>
      <c r="G68" s="8"/>
      <c r="H68" s="8"/>
      <c r="I68" s="8"/>
      <c r="J68" s="9"/>
      <c r="K68" s="10"/>
      <c r="L68" s="10"/>
      <c r="M68" s="10"/>
      <c r="N68" s="10"/>
      <c r="O68" s="10"/>
    </row>
    <row r="69" spans="1:15" ht="15.6" customHeight="1" x14ac:dyDescent="0.3">
      <c r="A69" s="1">
        <v>4</v>
      </c>
      <c r="B69" s="1">
        <v>200</v>
      </c>
      <c r="C69" s="1">
        <v>4000</v>
      </c>
      <c r="D69" s="2">
        <v>0.1</v>
      </c>
      <c r="E69" s="1">
        <v>10</v>
      </c>
      <c r="F69" s="2">
        <v>0</v>
      </c>
      <c r="G69" s="2">
        <v>166.89</v>
      </c>
      <c r="H69" s="2">
        <v>18.170000000000002</v>
      </c>
      <c r="I69" s="2">
        <v>0</v>
      </c>
      <c r="J69" s="4">
        <f t="shared" ref="J69:J89" si="18">H69/SQRT(C69)</f>
        <v>0.28729292542629731</v>
      </c>
      <c r="K69" s="5">
        <f t="shared" ref="K69:K89" si="19">-10*LOG10(G69/(B69*3))</f>
        <v>5.5572093572315326</v>
      </c>
      <c r="L69" s="5">
        <f t="shared" ref="L69:L89" si="20">-10*LOG10((G69+1.96*J69)/(B69*3))</f>
        <v>5.5425807370730311</v>
      </c>
      <c r="M69" s="5">
        <f t="shared" ref="M69:M89" si="21">-10*LOG10((G69-1.96*J69)/(B69*3))</f>
        <v>5.5718874184940592</v>
      </c>
      <c r="N69" s="5">
        <f t="shared" ref="N69:N89" si="22">K69-L69</f>
        <v>1.4628620158501526E-2</v>
      </c>
      <c r="O69" s="5">
        <f t="shared" ref="O69:O89" si="23">M69-K69</f>
        <v>1.4678061262526576E-2</v>
      </c>
    </row>
    <row r="70" spans="1:15" ht="15.6" customHeight="1" x14ac:dyDescent="0.3">
      <c r="A70" s="3">
        <v>4</v>
      </c>
      <c r="B70" s="3">
        <v>200</v>
      </c>
      <c r="C70" s="3">
        <v>4000</v>
      </c>
      <c r="D70" s="4">
        <v>0.1</v>
      </c>
      <c r="E70" s="3">
        <v>10</v>
      </c>
      <c r="F70" s="4">
        <v>0</v>
      </c>
      <c r="G70" s="4">
        <v>166.03</v>
      </c>
      <c r="H70" s="4">
        <v>18.23</v>
      </c>
      <c r="I70" s="2">
        <v>1</v>
      </c>
      <c r="J70" s="4">
        <f t="shared" si="18"/>
        <v>0.28824160872434779</v>
      </c>
      <c r="K70" s="5">
        <f t="shared" si="19"/>
        <v>5.5796468248036799</v>
      </c>
      <c r="L70" s="5">
        <f t="shared" si="20"/>
        <v>5.5648940863842107</v>
      </c>
      <c r="M70" s="5">
        <f t="shared" si="21"/>
        <v>5.5944498483069758</v>
      </c>
      <c r="N70" s="5">
        <f t="shared" si="22"/>
        <v>1.4752738419469225E-2</v>
      </c>
      <c r="O70" s="5">
        <f t="shared" si="23"/>
        <v>1.4803023503295876E-2</v>
      </c>
    </row>
    <row r="71" spans="1:15" ht="15.6" customHeight="1" x14ac:dyDescent="0.3">
      <c r="A71" s="3">
        <v>4</v>
      </c>
      <c r="B71" s="3">
        <v>200</v>
      </c>
      <c r="C71" s="3">
        <v>4000</v>
      </c>
      <c r="D71" s="4">
        <v>0.1</v>
      </c>
      <c r="E71" s="3">
        <v>10</v>
      </c>
      <c r="F71" s="4">
        <v>0</v>
      </c>
      <c r="G71" s="4">
        <v>165.55</v>
      </c>
      <c r="H71" s="4">
        <v>18.28</v>
      </c>
      <c r="I71" s="4">
        <v>2</v>
      </c>
      <c r="J71" s="4">
        <f t="shared" si="18"/>
        <v>0.28903217813938992</v>
      </c>
      <c r="K71" s="5">
        <f t="shared" si="19"/>
        <v>5.5922206529555645</v>
      </c>
      <c r="L71" s="5">
        <f t="shared" si="20"/>
        <v>5.5773847021497804</v>
      </c>
      <c r="M71" s="5">
        <f t="shared" si="21"/>
        <v>5.6071074586863343</v>
      </c>
      <c r="N71" s="5">
        <f t="shared" si="22"/>
        <v>1.4835950805784037E-2</v>
      </c>
      <c r="O71" s="5">
        <f t="shared" si="23"/>
        <v>1.4886805730769836E-2</v>
      </c>
    </row>
    <row r="72" spans="1:15" ht="15.6" customHeight="1" x14ac:dyDescent="0.3">
      <c r="A72" s="3">
        <v>4</v>
      </c>
      <c r="B72" s="3">
        <v>200</v>
      </c>
      <c r="C72" s="3">
        <v>4000</v>
      </c>
      <c r="D72" s="4">
        <v>0.1</v>
      </c>
      <c r="E72" s="3">
        <v>10</v>
      </c>
      <c r="F72" s="4">
        <v>0</v>
      </c>
      <c r="G72" s="4">
        <v>165.05</v>
      </c>
      <c r="H72" s="4">
        <v>18.11</v>
      </c>
      <c r="I72" s="2">
        <v>3</v>
      </c>
      <c r="J72" s="4">
        <f t="shared" si="18"/>
        <v>0.28634424212824677</v>
      </c>
      <c r="K72" s="5">
        <f t="shared" si="19"/>
        <v>5.6053572171731325</v>
      </c>
      <c r="L72" s="5">
        <f t="shared" si="20"/>
        <v>5.5906145531978266</v>
      </c>
      <c r="M72" s="5">
        <f t="shared" si="21"/>
        <v>5.6201500974607645</v>
      </c>
      <c r="N72" s="5">
        <f t="shared" si="22"/>
        <v>1.4742663975305881E-2</v>
      </c>
      <c r="O72" s="5">
        <f t="shared" si="23"/>
        <v>1.4792880287632038E-2</v>
      </c>
    </row>
    <row r="73" spans="1:15" ht="15.6" customHeight="1" x14ac:dyDescent="0.3">
      <c r="A73" s="3">
        <v>4</v>
      </c>
      <c r="B73" s="3">
        <v>200</v>
      </c>
      <c r="C73" s="3">
        <v>4000</v>
      </c>
      <c r="D73" s="4">
        <v>0.1</v>
      </c>
      <c r="E73" s="3">
        <v>10</v>
      </c>
      <c r="F73" s="4">
        <v>0</v>
      </c>
      <c r="G73" s="4">
        <v>164.77</v>
      </c>
      <c r="H73" s="4">
        <v>17.87</v>
      </c>
      <c r="I73" s="4">
        <v>4</v>
      </c>
      <c r="J73" s="4">
        <f t="shared" si="18"/>
        <v>0.28254950893604469</v>
      </c>
      <c r="K73" s="5">
        <f t="shared" si="19"/>
        <v>5.6127310868078659</v>
      </c>
      <c r="L73" s="5">
        <f t="shared" si="20"/>
        <v>5.5981587909756882</v>
      </c>
      <c r="M73" s="5">
        <f t="shared" si="21"/>
        <v>5.6273524431137592</v>
      </c>
      <c r="N73" s="5">
        <f t="shared" si="22"/>
        <v>1.4572295832177673E-2</v>
      </c>
      <c r="O73" s="5">
        <f t="shared" si="23"/>
        <v>1.4621356305893229E-2</v>
      </c>
    </row>
    <row r="74" spans="1:15" ht="15.6" customHeight="1" x14ac:dyDescent="0.3">
      <c r="A74" s="3">
        <v>4</v>
      </c>
      <c r="B74" s="3">
        <v>200</v>
      </c>
      <c r="C74" s="3">
        <v>4000</v>
      </c>
      <c r="D74" s="4">
        <v>0.1</v>
      </c>
      <c r="E74" s="3">
        <v>10</v>
      </c>
      <c r="F74" s="4">
        <v>0</v>
      </c>
      <c r="G74" s="4">
        <v>165.13</v>
      </c>
      <c r="H74" s="4">
        <v>18.16</v>
      </c>
      <c r="I74" s="2">
        <v>5</v>
      </c>
      <c r="J74" s="4">
        <f t="shared" si="18"/>
        <v>0.28713481154328885</v>
      </c>
      <c r="K74" s="5">
        <f t="shared" si="19"/>
        <v>5.6032526948379138</v>
      </c>
      <c r="L74" s="5">
        <f t="shared" si="20"/>
        <v>5.5884765468040651</v>
      </c>
      <c r="M74" s="5">
        <f t="shared" si="21"/>
        <v>5.6180792879397279</v>
      </c>
      <c r="N74" s="5">
        <f t="shared" si="22"/>
        <v>1.4776148033848635E-2</v>
      </c>
      <c r="O74" s="5">
        <f t="shared" si="23"/>
        <v>1.4826593101814112E-2</v>
      </c>
    </row>
    <row r="75" spans="1:15" ht="15.6" customHeight="1" x14ac:dyDescent="0.3">
      <c r="A75" s="3">
        <v>4</v>
      </c>
      <c r="B75" s="3">
        <v>200</v>
      </c>
      <c r="C75" s="3">
        <v>4000</v>
      </c>
      <c r="D75" s="4">
        <v>0.1</v>
      </c>
      <c r="E75" s="3">
        <v>10</v>
      </c>
      <c r="F75" s="4">
        <v>0</v>
      </c>
      <c r="G75" s="4">
        <v>164.34</v>
      </c>
      <c r="H75" s="4">
        <v>17.93</v>
      </c>
      <c r="I75" s="4">
        <v>6</v>
      </c>
      <c r="J75" s="4">
        <f t="shared" si="18"/>
        <v>0.28349819223409523</v>
      </c>
      <c r="K75" s="5">
        <f t="shared" si="19"/>
        <v>5.6240796774603847</v>
      </c>
      <c r="L75" s="5">
        <f t="shared" si="20"/>
        <v>5.6094203440981811</v>
      </c>
      <c r="M75" s="5">
        <f t="shared" si="21"/>
        <v>5.6387886601030637</v>
      </c>
      <c r="N75" s="5">
        <f t="shared" si="22"/>
        <v>1.4659333362203597E-2</v>
      </c>
      <c r="O75" s="5">
        <f t="shared" si="23"/>
        <v>1.4708982642678947E-2</v>
      </c>
    </row>
    <row r="76" spans="1:15" ht="15.6" customHeight="1" x14ac:dyDescent="0.3">
      <c r="A76" s="3">
        <v>4</v>
      </c>
      <c r="B76" s="3">
        <v>200</v>
      </c>
      <c r="C76" s="3">
        <v>4000</v>
      </c>
      <c r="D76" s="4">
        <v>0.1</v>
      </c>
      <c r="E76" s="3">
        <v>10</v>
      </c>
      <c r="F76" s="4">
        <v>0</v>
      </c>
      <c r="G76" s="4">
        <v>164.66</v>
      </c>
      <c r="H76" s="4">
        <v>18</v>
      </c>
      <c r="I76" s="2">
        <v>7</v>
      </c>
      <c r="J76" s="4">
        <f t="shared" si="18"/>
        <v>0.28460498941515416</v>
      </c>
      <c r="K76" s="5">
        <f t="shared" si="19"/>
        <v>5.6156313930814203</v>
      </c>
      <c r="L76" s="5">
        <f t="shared" si="20"/>
        <v>5.600943477145476</v>
      </c>
      <c r="M76" s="5">
        <f t="shared" si="21"/>
        <v>5.6303691524269404</v>
      </c>
      <c r="N76" s="5">
        <f t="shared" si="22"/>
        <v>1.4687915935944318E-2</v>
      </c>
      <c r="O76" s="5">
        <f t="shared" si="23"/>
        <v>1.4737759345520018E-2</v>
      </c>
    </row>
    <row r="77" spans="1:15" ht="15.6" customHeight="1" x14ac:dyDescent="0.3">
      <c r="A77" s="3">
        <v>4</v>
      </c>
      <c r="B77" s="3">
        <v>200</v>
      </c>
      <c r="C77" s="3">
        <v>4000</v>
      </c>
      <c r="D77" s="4">
        <v>0.1</v>
      </c>
      <c r="E77" s="3">
        <v>10</v>
      </c>
      <c r="F77" s="4">
        <v>0</v>
      </c>
      <c r="G77" s="4">
        <v>163.83000000000001</v>
      </c>
      <c r="H77" s="4">
        <v>17.61</v>
      </c>
      <c r="I77" s="4">
        <v>8</v>
      </c>
      <c r="J77" s="4">
        <f t="shared" si="18"/>
        <v>0.2784385479778258</v>
      </c>
      <c r="K77" s="5">
        <f t="shared" si="19"/>
        <v>5.6375781912843781</v>
      </c>
      <c r="L77" s="5">
        <f t="shared" si="20"/>
        <v>5.623135305816608</v>
      </c>
      <c r="M77" s="5">
        <f t="shared" si="21"/>
        <v>5.6520692682829301</v>
      </c>
      <c r="N77" s="5">
        <f t="shared" si="22"/>
        <v>1.4442885467770061E-2</v>
      </c>
      <c r="O77" s="5">
        <f t="shared" si="23"/>
        <v>1.449107699855201E-2</v>
      </c>
    </row>
    <row r="78" spans="1:15" ht="15.6" customHeight="1" x14ac:dyDescent="0.3">
      <c r="A78" s="3">
        <v>4</v>
      </c>
      <c r="B78" s="3">
        <v>200</v>
      </c>
      <c r="C78" s="3">
        <v>4000</v>
      </c>
      <c r="D78" s="4">
        <v>0.1</v>
      </c>
      <c r="E78" s="3">
        <v>10</v>
      </c>
      <c r="F78" s="4">
        <v>0</v>
      </c>
      <c r="G78" s="4">
        <v>164.12</v>
      </c>
      <c r="H78" s="4">
        <v>17.89</v>
      </c>
      <c r="I78" s="2">
        <v>9</v>
      </c>
      <c r="J78" s="4">
        <f t="shared" si="18"/>
        <v>0.28286573670206155</v>
      </c>
      <c r="K78" s="5">
        <f t="shared" si="19"/>
        <v>5.6298974208876862</v>
      </c>
      <c r="L78" s="5">
        <f t="shared" si="20"/>
        <v>5.6152511622004884</v>
      </c>
      <c r="M78" s="5">
        <f t="shared" si="21"/>
        <v>5.6445932401805656</v>
      </c>
      <c r="N78" s="5">
        <f t="shared" si="22"/>
        <v>1.4646258687197822E-2</v>
      </c>
      <c r="O78" s="5">
        <f t="shared" si="23"/>
        <v>1.4695819292879442E-2</v>
      </c>
    </row>
    <row r="79" spans="1:15" ht="15.6" customHeight="1" x14ac:dyDescent="0.3">
      <c r="A79" s="3">
        <v>4</v>
      </c>
      <c r="B79" s="3">
        <v>200</v>
      </c>
      <c r="C79" s="3">
        <v>4000</v>
      </c>
      <c r="D79" s="4">
        <v>0.1</v>
      </c>
      <c r="E79" s="3">
        <v>10</v>
      </c>
      <c r="F79" s="4">
        <v>0</v>
      </c>
      <c r="G79" s="4">
        <v>165.07</v>
      </c>
      <c r="H79" s="4">
        <v>17.489999999999998</v>
      </c>
      <c r="I79" s="4">
        <v>10</v>
      </c>
      <c r="J79" s="4">
        <f t="shared" si="18"/>
        <v>0.27654118138172473</v>
      </c>
      <c r="K79" s="5">
        <f t="shared" si="19"/>
        <v>5.6048309909736478</v>
      </c>
      <c r="L79" s="5">
        <f t="shared" si="20"/>
        <v>5.5905939413679482</v>
      </c>
      <c r="M79" s="5">
        <f t="shared" si="21"/>
        <v>5.6191148660466688</v>
      </c>
      <c r="N79" s="5">
        <f t="shared" si="22"/>
        <v>1.4237049605699603E-2</v>
      </c>
      <c r="O79" s="5">
        <f t="shared" si="23"/>
        <v>1.428387507302098E-2</v>
      </c>
    </row>
    <row r="80" spans="1:15" ht="15.6" customHeight="1" x14ac:dyDescent="0.3">
      <c r="A80" s="3"/>
      <c r="B80" s="3"/>
      <c r="C80" s="3"/>
      <c r="D80" s="4"/>
      <c r="E80" s="3"/>
      <c r="F80" s="3"/>
      <c r="G80" s="4"/>
      <c r="H80" s="4"/>
      <c r="I80" s="4"/>
      <c r="J80" s="4" t="e">
        <f t="shared" si="18"/>
        <v>#DIV/0!</v>
      </c>
      <c r="K80" s="5" t="e">
        <f t="shared" si="19"/>
        <v>#DIV/0!</v>
      </c>
      <c r="L80" s="5" t="e">
        <f t="shared" si="20"/>
        <v>#DIV/0!</v>
      </c>
      <c r="M80" s="5" t="e">
        <f t="shared" si="21"/>
        <v>#DIV/0!</v>
      </c>
      <c r="N80" s="5" t="e">
        <f t="shared" si="22"/>
        <v>#DIV/0!</v>
      </c>
      <c r="O80" s="5" t="e">
        <f t="shared" si="23"/>
        <v>#DIV/0!</v>
      </c>
    </row>
    <row r="81" spans="1:15" ht="15.6" customHeight="1" x14ac:dyDescent="0.3">
      <c r="A81" s="3"/>
      <c r="B81" s="3"/>
      <c r="C81" s="3"/>
      <c r="D81" s="4"/>
      <c r="E81" s="3"/>
      <c r="F81" s="4"/>
      <c r="G81" s="4"/>
      <c r="H81" s="4"/>
      <c r="I81" s="4"/>
      <c r="J81" s="4" t="e">
        <f t="shared" si="18"/>
        <v>#DIV/0!</v>
      </c>
      <c r="K81" s="5" t="e">
        <f t="shared" si="19"/>
        <v>#DIV/0!</v>
      </c>
      <c r="L81" s="5" t="e">
        <f t="shared" si="20"/>
        <v>#DIV/0!</v>
      </c>
      <c r="M81" s="5" t="e">
        <f t="shared" si="21"/>
        <v>#DIV/0!</v>
      </c>
      <c r="N81" s="5" t="e">
        <f t="shared" si="22"/>
        <v>#DIV/0!</v>
      </c>
      <c r="O81" s="5" t="e">
        <f t="shared" si="23"/>
        <v>#DIV/0!</v>
      </c>
    </row>
    <row r="82" spans="1:15" ht="15.6" customHeight="1" x14ac:dyDescent="0.3">
      <c r="A82" s="3"/>
      <c r="B82" s="3"/>
      <c r="C82" s="3"/>
      <c r="D82" s="4"/>
      <c r="E82" s="3"/>
      <c r="F82" s="4"/>
      <c r="G82" s="4"/>
      <c r="H82" s="4"/>
      <c r="I82" s="4"/>
      <c r="J82" s="4" t="e">
        <f t="shared" si="18"/>
        <v>#DIV/0!</v>
      </c>
      <c r="K82" s="5" t="e">
        <f t="shared" si="19"/>
        <v>#DIV/0!</v>
      </c>
      <c r="L82" s="5" t="e">
        <f t="shared" si="20"/>
        <v>#DIV/0!</v>
      </c>
      <c r="M82" s="5" t="e">
        <f t="shared" si="21"/>
        <v>#DIV/0!</v>
      </c>
      <c r="N82" s="5" t="e">
        <f t="shared" si="22"/>
        <v>#DIV/0!</v>
      </c>
      <c r="O82" s="5" t="e">
        <f t="shared" si="23"/>
        <v>#DIV/0!</v>
      </c>
    </row>
    <row r="83" spans="1:15" ht="15.6" customHeight="1" x14ac:dyDescent="0.3">
      <c r="A83" s="3"/>
      <c r="B83" s="3"/>
      <c r="C83" s="3"/>
      <c r="D83" s="4"/>
      <c r="E83" s="3"/>
      <c r="F83" s="4"/>
      <c r="G83" s="4"/>
      <c r="H83" s="4"/>
      <c r="I83" s="4"/>
      <c r="J83" s="4" t="e">
        <f t="shared" si="18"/>
        <v>#DIV/0!</v>
      </c>
      <c r="K83" s="5" t="e">
        <f t="shared" si="19"/>
        <v>#DIV/0!</v>
      </c>
      <c r="L83" s="5" t="e">
        <f t="shared" si="20"/>
        <v>#DIV/0!</v>
      </c>
      <c r="M83" s="5" t="e">
        <f t="shared" si="21"/>
        <v>#DIV/0!</v>
      </c>
      <c r="N83" s="5" t="e">
        <f t="shared" si="22"/>
        <v>#DIV/0!</v>
      </c>
      <c r="O83" s="5" t="e">
        <f t="shared" si="23"/>
        <v>#DIV/0!</v>
      </c>
    </row>
    <row r="84" spans="1:15" ht="15.6" customHeight="1" x14ac:dyDescent="0.3">
      <c r="A84" s="3"/>
      <c r="B84" s="3"/>
      <c r="C84" s="3"/>
      <c r="D84" s="4"/>
      <c r="E84" s="3"/>
      <c r="F84" s="4"/>
      <c r="G84" s="4"/>
      <c r="H84" s="4"/>
      <c r="I84" s="4"/>
      <c r="J84" s="4" t="e">
        <f t="shared" si="18"/>
        <v>#DIV/0!</v>
      </c>
      <c r="K84" s="5" t="e">
        <f t="shared" si="19"/>
        <v>#DIV/0!</v>
      </c>
      <c r="L84" s="5" t="e">
        <f t="shared" si="20"/>
        <v>#DIV/0!</v>
      </c>
      <c r="M84" s="5" t="e">
        <f t="shared" si="21"/>
        <v>#DIV/0!</v>
      </c>
      <c r="N84" s="5" t="e">
        <f t="shared" si="22"/>
        <v>#DIV/0!</v>
      </c>
      <c r="O84" s="5" t="e">
        <f t="shared" si="23"/>
        <v>#DIV/0!</v>
      </c>
    </row>
    <row r="85" spans="1:15" x14ac:dyDescent="0.3">
      <c r="J85" s="4" t="e">
        <f t="shared" si="18"/>
        <v>#DIV/0!</v>
      </c>
      <c r="K85" s="5" t="e">
        <f t="shared" si="19"/>
        <v>#DIV/0!</v>
      </c>
      <c r="L85" s="5" t="e">
        <f t="shared" si="20"/>
        <v>#DIV/0!</v>
      </c>
      <c r="M85" s="5" t="e">
        <f t="shared" si="21"/>
        <v>#DIV/0!</v>
      </c>
      <c r="N85" s="5" t="e">
        <f t="shared" si="22"/>
        <v>#DIV/0!</v>
      </c>
      <c r="O85" s="5" t="e">
        <f t="shared" si="23"/>
        <v>#DIV/0!</v>
      </c>
    </row>
    <row r="86" spans="1:15" x14ac:dyDescent="0.3">
      <c r="J86" s="4" t="e">
        <f t="shared" si="18"/>
        <v>#DIV/0!</v>
      </c>
      <c r="K86" s="5" t="e">
        <f t="shared" si="19"/>
        <v>#DIV/0!</v>
      </c>
      <c r="L86" s="5" t="e">
        <f t="shared" si="20"/>
        <v>#DIV/0!</v>
      </c>
      <c r="M86" s="5" t="e">
        <f t="shared" si="21"/>
        <v>#DIV/0!</v>
      </c>
      <c r="N86" s="5" t="e">
        <f t="shared" si="22"/>
        <v>#DIV/0!</v>
      </c>
      <c r="O86" s="5" t="e">
        <f t="shared" si="23"/>
        <v>#DIV/0!</v>
      </c>
    </row>
    <row r="87" spans="1:15" x14ac:dyDescent="0.3">
      <c r="J87" s="4" t="e">
        <f t="shared" si="18"/>
        <v>#DIV/0!</v>
      </c>
      <c r="K87" s="5" t="e">
        <f t="shared" si="19"/>
        <v>#DIV/0!</v>
      </c>
      <c r="L87" s="5" t="e">
        <f t="shared" si="20"/>
        <v>#DIV/0!</v>
      </c>
      <c r="M87" s="5" t="e">
        <f t="shared" si="21"/>
        <v>#DIV/0!</v>
      </c>
      <c r="N87" s="5" t="e">
        <f t="shared" si="22"/>
        <v>#DIV/0!</v>
      </c>
      <c r="O87" s="5" t="e">
        <f t="shared" si="23"/>
        <v>#DIV/0!</v>
      </c>
    </row>
    <row r="88" spans="1:15" x14ac:dyDescent="0.3">
      <c r="J88" s="4" t="e">
        <f t="shared" si="18"/>
        <v>#DIV/0!</v>
      </c>
      <c r="K88" s="5" t="e">
        <f t="shared" si="19"/>
        <v>#DIV/0!</v>
      </c>
      <c r="L88" s="5" t="e">
        <f t="shared" si="20"/>
        <v>#DIV/0!</v>
      </c>
      <c r="M88" s="5" t="e">
        <f t="shared" si="21"/>
        <v>#DIV/0!</v>
      </c>
      <c r="N88" s="5" t="e">
        <f t="shared" si="22"/>
        <v>#DIV/0!</v>
      </c>
      <c r="O88" s="5" t="e">
        <f t="shared" si="23"/>
        <v>#DIV/0!</v>
      </c>
    </row>
    <row r="89" spans="1:15" x14ac:dyDescent="0.3">
      <c r="J89" s="4" t="e">
        <f t="shared" si="18"/>
        <v>#DIV/0!</v>
      </c>
      <c r="K89" s="5" t="e">
        <f t="shared" si="19"/>
        <v>#DIV/0!</v>
      </c>
      <c r="L89" s="5" t="e">
        <f t="shared" si="20"/>
        <v>#DIV/0!</v>
      </c>
      <c r="M89" s="5" t="e">
        <f t="shared" si="21"/>
        <v>#DIV/0!</v>
      </c>
      <c r="N89" s="5" t="e">
        <f t="shared" si="22"/>
        <v>#DIV/0!</v>
      </c>
      <c r="O89" s="5" t="e">
        <f t="shared" si="23"/>
        <v>#DIV/0!</v>
      </c>
    </row>
    <row r="107" spans="10:15" ht="18.75" customHeight="1" x14ac:dyDescent="0.3">
      <c r="J107" s="4"/>
      <c r="K107" s="5"/>
      <c r="L107" s="5"/>
      <c r="M107" s="5"/>
      <c r="N107" s="5"/>
      <c r="O107" s="5"/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17</vt:i4>
      </vt:variant>
    </vt:vector>
  </HeadingPairs>
  <TitlesOfParts>
    <vt:vector size="17" baseType="lpstr">
      <vt:lpstr>Ex X sd</vt:lpstr>
      <vt:lpstr>Ex X K</vt:lpstr>
      <vt:lpstr>R9.S.-.sd</vt:lpstr>
      <vt:lpstr>R9.S.Df.sd</vt:lpstr>
      <vt:lpstr>R9.S.Df.K</vt:lpstr>
      <vt:lpstr>R9.S.Dh.sd</vt:lpstr>
      <vt:lpstr>R9.S.Dh.K</vt:lpstr>
      <vt:lpstr>R9.S.Ds.sd</vt:lpstr>
      <vt:lpstr>R9.S.Ds.K</vt:lpstr>
      <vt:lpstr>R9.K.Ds.sd</vt:lpstr>
      <vt:lpstr>R9.K.Ds.K</vt:lpstr>
      <vt:lpstr>R10.K.Ds.cb</vt:lpstr>
      <vt:lpstr>R10.K.Ds.sd</vt:lpstr>
      <vt:lpstr>R10.K.Ds.K</vt:lpstr>
      <vt:lpstr>R10.S.S.sd</vt:lpstr>
      <vt:lpstr>R9.K.Ds.pad</vt:lpstr>
      <vt:lpstr>R10.K.Ds.pad</vt:lpstr>
    </vt:vector>
  </TitlesOfParts>
  <Manager/>
  <Company>GrapeCity,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Preet Patel</cp:lastModifiedBy>
  <dcterms:created xsi:type="dcterms:W3CDTF">2023-10-19T10:27:09Z</dcterms:created>
  <dcterms:modified xsi:type="dcterms:W3CDTF">2024-09-04T00:55:12Z</dcterms:modified>
</cp:coreProperties>
</file>